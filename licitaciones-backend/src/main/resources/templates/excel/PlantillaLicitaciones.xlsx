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ristian.mayorga\Documents\licitaciones-backend\licitaciones-backend\src\main\resources\templates\excel\"/>
    </mc:Choice>
  </mc:AlternateContent>
  <xr:revisionPtr revIDLastSave="0" documentId="13_ncr:1_{70919955-F398-454A-A5BD-8B930D07EC3A}" xr6:coauthVersionLast="47" xr6:coauthVersionMax="47" xr10:uidLastSave="{00000000-0000-0000-0000-000000000000}"/>
  <bookViews>
    <workbookView xWindow="28680" yWindow="-120" windowWidth="20730" windowHeight="11040" tabRatio="791" firstSheet="1" activeTab="4" xr2:uid="{00000000-000D-0000-FFFF-FFFF00000000}"/>
  </bookViews>
  <sheets>
    <sheet name="CheckList" sheetId="20" state="hidden" r:id="rId1"/>
    <sheet name="FichaTecnica" sheetId="1" r:id="rId2"/>
    <sheet name="Documentacion" sheetId="11" r:id="rId3"/>
    <sheet name="Costeo" sheetId="9" r:id="rId4"/>
    <sheet name="Perfiles" sheetId="23" r:id="rId5"/>
    <sheet name="Pólizas" sheetId="8" r:id="rId6"/>
    <sheet name="Precios art. bajos " sheetId="21" r:id="rId7"/>
    <sheet name="Análisis Ppta Económica" sheetId="16" r:id="rId8"/>
    <sheet name="IndicadoresSG" sheetId="19" r:id="rId9"/>
    <sheet name="Indicadores en UT" sheetId="14" r:id="rId10"/>
    <sheet name="CalculoFechas" sheetId="18" r:id="rId11"/>
  </sheets>
  <definedNames>
    <definedName name="_xlnm._FilterDatabase" localSheetId="2" hidden="1">Documentacion!$A$12:$F$93</definedName>
    <definedName name="_xlnm._FilterDatabase" localSheetId="1" hidden="1">FichaTecnica!$A$8:$B$19</definedName>
    <definedName name="Activo">0.09</definedName>
    <definedName name="Decision">#N/A</definedName>
    <definedName name="Endeudamiento">0.52</definedName>
    <definedName name="Intereses">5.45</definedName>
    <definedName name="Liquidez">1.57</definedName>
    <definedName name="PARTICIPACION">#N/A</definedName>
    <definedName name="Patrimonio">0.2</definedName>
    <definedName name="Procedencia">#N/A</definedName>
    <definedName name="SM_24">1300000</definedName>
    <definedName name="tipo">#N/A</definedName>
    <definedName name="Trabajo">3049134825</definedName>
    <definedName name="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19" l="1"/>
  <c r="C21" i="19"/>
  <c r="F24" i="9"/>
  <c r="C26" i="1"/>
  <c r="C27" i="1"/>
  <c r="C20" i="1"/>
  <c r="C21" i="1"/>
  <c r="B13" i="1"/>
  <c r="C11" i="19"/>
  <c r="C14" i="19"/>
  <c r="B5" i="21"/>
  <c r="E13" i="21"/>
  <c r="E12" i="21"/>
  <c r="F25" i="9"/>
  <c r="F26" i="9"/>
  <c r="F27" i="9"/>
  <c r="F28" i="9"/>
  <c r="F29" i="9"/>
  <c r="F30" i="9"/>
  <c r="F31" i="9"/>
  <c r="H25" i="9"/>
  <c r="H26" i="9"/>
  <c r="H27" i="9"/>
  <c r="H28" i="9"/>
  <c r="H29" i="9"/>
  <c r="H30" i="9"/>
  <c r="H31" i="9"/>
  <c r="H24" i="9"/>
  <c r="C18" i="9"/>
  <c r="E12" i="14"/>
  <c r="E11" i="14"/>
  <c r="E10" i="14"/>
  <c r="D10" i="14"/>
  <c r="E9" i="14"/>
  <c r="D9" i="14"/>
  <c r="C22" i="1"/>
  <c r="D12" i="14"/>
  <c r="D11" i="14"/>
  <c r="C22" i="14"/>
  <c r="C21" i="14"/>
  <c r="C18" i="14"/>
  <c r="C19" i="14"/>
  <c r="C20" i="14"/>
  <c r="C17" i="14"/>
  <c r="D17" i="14"/>
  <c r="D24" i="19"/>
  <c r="D23" i="19"/>
  <c r="D21" i="19"/>
  <c r="D19" i="19"/>
  <c r="D20" i="19"/>
  <c r="D18" i="19"/>
  <c r="C23" i="1"/>
  <c r="D16" i="21" l="1"/>
  <c r="D3" i="9"/>
  <c r="C13" i="19"/>
  <c r="C10" i="19"/>
  <c r="C8" i="19"/>
  <c r="B4" i="16" l="1"/>
  <c r="B13" i="16" s="1"/>
  <c r="D21" i="18"/>
  <c r="E21" i="18" s="1"/>
  <c r="F21" i="18" s="1"/>
  <c r="D43" i="18"/>
  <c r="E43" i="18" s="1"/>
  <c r="F43" i="18" s="1"/>
  <c r="D42" i="18"/>
  <c r="E42" i="18" s="1"/>
  <c r="F42" i="18" s="1"/>
  <c r="D41" i="18"/>
  <c r="E41" i="18" s="1"/>
  <c r="F41" i="18" s="1"/>
  <c r="D40" i="18"/>
  <c r="E40" i="18" s="1"/>
  <c r="F40" i="18" s="1"/>
  <c r="D39" i="18"/>
  <c r="E39" i="18" s="1"/>
  <c r="F39" i="18" s="1"/>
  <c r="D38" i="18"/>
  <c r="E38" i="18" s="1"/>
  <c r="F38" i="18" s="1"/>
  <c r="D37" i="18"/>
  <c r="E37" i="18" s="1"/>
  <c r="F37" i="18" s="1"/>
  <c r="D36" i="18"/>
  <c r="E36" i="18" s="1"/>
  <c r="F36" i="18" s="1"/>
  <c r="D35" i="18"/>
  <c r="E35" i="18" s="1"/>
  <c r="F35" i="18" s="1"/>
  <c r="D34" i="18"/>
  <c r="E34" i="18" s="1"/>
  <c r="F34" i="18" s="1"/>
  <c r="D33" i="18"/>
  <c r="E33" i="18" s="1"/>
  <c r="F33" i="18" s="1"/>
  <c r="D32" i="18"/>
  <c r="E32" i="18" s="1"/>
  <c r="F32" i="18" s="1"/>
  <c r="D31" i="18"/>
  <c r="E31" i="18" s="1"/>
  <c r="F31" i="18" s="1"/>
  <c r="D30" i="18"/>
  <c r="E30" i="18" s="1"/>
  <c r="F30" i="18" s="1"/>
  <c r="D29" i="18"/>
  <c r="E29" i="18" s="1"/>
  <c r="F29" i="18" s="1"/>
  <c r="D28" i="18"/>
  <c r="E28" i="18" s="1"/>
  <c r="F28" i="18" s="1"/>
  <c r="D27" i="18"/>
  <c r="E27" i="18" s="1"/>
  <c r="F27" i="18" s="1"/>
  <c r="D26" i="18"/>
  <c r="E26" i="18" s="1"/>
  <c r="F26" i="18" s="1"/>
  <c r="D25" i="18"/>
  <c r="E25" i="18" s="1"/>
  <c r="F25" i="18" s="1"/>
  <c r="D24" i="18"/>
  <c r="E24" i="18" s="1"/>
  <c r="F24" i="18" s="1"/>
  <c r="D23" i="18"/>
  <c r="E23" i="18" s="1"/>
  <c r="F23" i="18" s="1"/>
  <c r="D22" i="18"/>
  <c r="E22" i="18" s="1"/>
  <c r="F22" i="18" s="1"/>
  <c r="D20" i="18"/>
  <c r="E20" i="18" s="1"/>
  <c r="F20" i="18" s="1"/>
  <c r="D19" i="18"/>
  <c r="E19" i="18" s="1"/>
  <c r="F19" i="18" s="1"/>
  <c r="D18" i="18"/>
  <c r="E18" i="18" s="1"/>
  <c r="F18" i="18" s="1"/>
  <c r="D17" i="18"/>
  <c r="E17" i="18" s="1"/>
  <c r="F17" i="18" s="1"/>
  <c r="D16" i="18"/>
  <c r="E16" i="18" s="1"/>
  <c r="F16" i="18" s="1"/>
  <c r="D15" i="18"/>
  <c r="E15" i="18" s="1"/>
  <c r="F15" i="18" s="1"/>
  <c r="D14" i="18"/>
  <c r="E14" i="18" s="1"/>
  <c r="F14" i="18" s="1"/>
  <c r="D13" i="18"/>
  <c r="E13" i="18" s="1"/>
  <c r="F13" i="18" s="1"/>
  <c r="D12" i="18"/>
  <c r="E12" i="18" s="1"/>
  <c r="F12" i="18" s="1"/>
  <c r="D11" i="18"/>
  <c r="E11" i="18" s="1"/>
  <c r="F11" i="18" s="1"/>
  <c r="D10" i="18"/>
  <c r="E10" i="18" s="1"/>
  <c r="F10" i="18" s="1"/>
  <c r="D9" i="18"/>
  <c r="E9" i="18" s="1"/>
  <c r="F9" i="18" s="1"/>
  <c r="D8" i="18"/>
  <c r="E8" i="18" s="1"/>
  <c r="F8" i="18" s="1"/>
  <c r="D7" i="18"/>
  <c r="E7" i="18" s="1"/>
  <c r="F7" i="18" s="1"/>
  <c r="D6" i="18"/>
  <c r="E6" i="18" s="1"/>
  <c r="F6" i="18" s="1"/>
  <c r="D5" i="18"/>
  <c r="E5" i="18" s="1"/>
  <c r="F5" i="18" s="1"/>
  <c r="D4" i="18"/>
  <c r="E4" i="18" s="1"/>
  <c r="F4" i="18" s="1"/>
  <c r="D3" i="18"/>
  <c r="E3" i="18" s="1"/>
  <c r="F3" i="18" s="1"/>
  <c r="D2" i="18"/>
  <c r="E2" i="18" s="1"/>
  <c r="F2" i="18" s="1"/>
  <c r="C16" i="16"/>
  <c r="B4" i="8"/>
  <c r="D8" i="8" s="1"/>
  <c r="B14" i="16" l="1"/>
  <c r="B6" i="16"/>
  <c r="B7" i="16"/>
  <c r="B10" i="16"/>
  <c r="B11" i="16"/>
  <c r="B8" i="16"/>
  <c r="B12" i="16"/>
  <c r="B9" i="16"/>
  <c r="D10" i="8"/>
  <c r="D7" i="8"/>
  <c r="D11" i="8"/>
  <c r="D9" i="8"/>
  <c r="D12" i="8"/>
  <c r="F5" i="16" l="1"/>
  <c r="F7" i="16" s="1"/>
  <c r="K5" i="16"/>
  <c r="K10" i="16" s="1"/>
  <c r="I5" i="16" a="1"/>
  <c r="I5" i="16" s="1"/>
  <c r="J5" i="16" a="1"/>
  <c r="J5" i="16" s="1"/>
  <c r="G5" i="16"/>
  <c r="G7" i="16" s="1"/>
  <c r="K14" i="16" l="1"/>
  <c r="K13" i="16"/>
  <c r="K12" i="16"/>
  <c r="K7" i="16"/>
  <c r="K8" i="16"/>
  <c r="K6" i="16"/>
  <c r="K9" i="16"/>
  <c r="K11" i="16"/>
  <c r="H5" i="16"/>
  <c r="H9" i="16" s="1"/>
  <c r="F11" i="16"/>
  <c r="F14" i="16"/>
  <c r="F13" i="16"/>
  <c r="F6" i="16"/>
  <c r="J11" i="16"/>
  <c r="F9" i="16"/>
  <c r="G10" i="16"/>
  <c r="G11" i="16"/>
  <c r="J12" i="16"/>
  <c r="J13" i="16" s="1"/>
  <c r="J14" i="16" s="1"/>
  <c r="J8" i="16"/>
  <c r="J10" i="16"/>
  <c r="G12" i="16"/>
  <c r="G8" i="16"/>
  <c r="G13" i="16"/>
  <c r="G9" i="16"/>
  <c r="F12" i="16"/>
  <c r="F8" i="16"/>
  <c r="G14" i="16"/>
  <c r="G6" i="16"/>
  <c r="F10" i="16"/>
  <c r="J6" i="16"/>
  <c r="J7" i="16"/>
  <c r="J9" i="16"/>
  <c r="H6" i="16" l="1"/>
  <c r="H10" i="16"/>
  <c r="H13" i="16"/>
  <c r="H8" i="16"/>
  <c r="H12" i="16"/>
  <c r="H14" i="16"/>
  <c r="I12" i="16"/>
  <c r="I6" i="16"/>
  <c r="I13" i="16"/>
  <c r="I7" i="16"/>
  <c r="I10" i="16"/>
  <c r="I8" i="16"/>
  <c r="I11" i="16"/>
  <c r="I14" i="16"/>
  <c r="I9" i="16"/>
  <c r="H7" i="16"/>
  <c r="H11" i="16"/>
  <c r="C9" i="11"/>
  <c r="D9" i="11"/>
  <c r="G22" i="14"/>
  <c r="D22" i="14"/>
  <c r="G21" i="14"/>
  <c r="D21" i="14"/>
  <c r="G19" i="14"/>
  <c r="D19" i="14"/>
  <c r="G18" i="14"/>
  <c r="D18" i="14"/>
  <c r="G17" i="14"/>
  <c r="G20" i="14"/>
  <c r="T25" i="9"/>
  <c r="V25" i="9" s="1"/>
  <c r="D20" i="14" l="1"/>
  <c r="E9" i="11" l="1"/>
  <c r="N24" i="9" l="1"/>
  <c r="Q32" i="9" l="1"/>
  <c r="T24" i="9"/>
  <c r="V24" i="9" s="1"/>
  <c r="M24" i="9"/>
  <c r="C3" i="9"/>
  <c r="C9" i="9" s="1"/>
  <c r="P24" i="9" l="1"/>
  <c r="P32" i="9" s="1"/>
  <c r="C17" i="9" s="1"/>
  <c r="V32" i="9"/>
  <c r="H32" i="9" l="1"/>
  <c r="C13" i="9" s="1"/>
  <c r="D9" i="9"/>
  <c r="C14" i="9"/>
  <c r="G7" i="8"/>
  <c r="I7" i="8" s="1"/>
  <c r="F4" i="8"/>
  <c r="C23" i="8" l="1"/>
  <c r="G21" i="8"/>
  <c r="I21" i="8" s="1"/>
  <c r="J21" i="8" s="1"/>
  <c r="J22" i="8" s="1"/>
  <c r="G12" i="8"/>
  <c r="G11" i="8"/>
  <c r="G10" i="8"/>
  <c r="G9" i="8"/>
  <c r="G8" i="8"/>
  <c r="E4" i="8"/>
  <c r="I12" i="8" l="1"/>
  <c r="J12" i="8" s="1"/>
  <c r="I9" i="8"/>
  <c r="J9" i="8" s="1"/>
  <c r="I10" i="8"/>
  <c r="J10" i="8" s="1"/>
  <c r="J7" i="8"/>
  <c r="I11" i="8"/>
  <c r="J11" i="8" s="1"/>
  <c r="I8" i="8"/>
  <c r="J8" i="8" s="1"/>
  <c r="J23" i="8"/>
  <c r="J24" i="8" s="1"/>
  <c r="J13" i="8" l="1"/>
  <c r="L17" i="8" s="1"/>
  <c r="L18" i="8" s="1"/>
  <c r="J26" i="8" s="1"/>
  <c r="K8" i="8"/>
  <c r="L8" i="8" s="1"/>
  <c r="K9" i="8"/>
  <c r="L9" i="8" s="1"/>
  <c r="K11" i="8"/>
  <c r="L11" i="8" s="1"/>
  <c r="K12" i="8"/>
  <c r="L12" i="8" s="1"/>
  <c r="K7" i="8"/>
  <c r="K10" i="8"/>
  <c r="L10" i="8" s="1"/>
  <c r="D14" i="8"/>
  <c r="C16" i="9" l="1"/>
  <c r="C20" i="9" s="1"/>
  <c r="K13" i="8"/>
  <c r="L7" i="8"/>
  <c r="C10" i="9" l="1"/>
  <c r="C11" i="9"/>
  <c r="L15" i="8"/>
  <c r="L1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tc={6EDF2DDB-53E6-4005-9E95-A8EECB6500D8}</author>
    <author>tc={49663DF4-D10F-4B23-806D-C300FCAE0108}</author>
  </authors>
  <commentList>
    <comment ref="F4" authorId="0" shapeId="0" xr:uid="{6EDF2DDB-53E6-4005-9E95-A8EECB6500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Promedio</t>
      </text>
    </comment>
    <comment ref="J4" authorId="1" shapeId="0" xr:uid="{49663DF4-D10F-4B23-806D-C300FCAE01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 el promedio entre la media aritmética + Mayor Valor presentado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<sst xmlns="http://schemas.openxmlformats.org/spreadsheetml/2006/main" count="249" uniqueCount="172">
  <si>
    <t>FICHA TÉCNICA</t>
  </si>
  <si>
    <t>Nombre Proyecto</t>
  </si>
  <si>
    <t>Tipo de Proceso</t>
  </si>
  <si>
    <t>Entidad</t>
  </si>
  <si>
    <t>Objeto del Contrato / Alcance</t>
  </si>
  <si>
    <t>Presupuesto</t>
  </si>
  <si>
    <t>Tiempo de Ejecución</t>
  </si>
  <si>
    <t>Modalidad de ejecución</t>
  </si>
  <si>
    <t>Ciudad del proyecto</t>
  </si>
  <si>
    <t>Valoración</t>
  </si>
  <si>
    <t>Códigos de RUP
(Clasificador de Bienes y Servicios)</t>
  </si>
  <si>
    <t>Requisitos e Indicadores financieros</t>
  </si>
  <si>
    <t># Actividades</t>
  </si>
  <si>
    <t>Act. Realizadas</t>
  </si>
  <si>
    <t>% de avance</t>
  </si>
  <si>
    <t>DOCUMENTACIÓN REQUERIDA</t>
  </si>
  <si>
    <t>ID</t>
  </si>
  <si>
    <t>Documento</t>
  </si>
  <si>
    <t>ESTADO</t>
  </si>
  <si>
    <t>Observaciones</t>
  </si>
  <si>
    <t xml:space="preserve"> </t>
  </si>
  <si>
    <t>Antes de IVA</t>
  </si>
  <si>
    <t>Con Iva</t>
  </si>
  <si>
    <t>Valor Presupuesto</t>
  </si>
  <si>
    <t>Duración (meses)</t>
  </si>
  <si>
    <t>Base Horas</t>
  </si>
  <si>
    <t>Duración Garantía (meses)</t>
  </si>
  <si>
    <t>% Descuento</t>
  </si>
  <si>
    <t>Valor Propuesta</t>
  </si>
  <si>
    <t>% Utilidad</t>
  </si>
  <si>
    <t>Costos</t>
  </si>
  <si>
    <t>Personal</t>
  </si>
  <si>
    <t>Administrativo</t>
  </si>
  <si>
    <t>Licenciamiento</t>
  </si>
  <si>
    <t>Pólizas</t>
  </si>
  <si>
    <t>Garantía</t>
  </si>
  <si>
    <t>Capacitación</t>
  </si>
  <si>
    <t>Perfil</t>
  </si>
  <si>
    <t>Salario</t>
  </si>
  <si>
    <t>% Asignación</t>
  </si>
  <si>
    <t>+54% prestacional</t>
  </si>
  <si>
    <t>PC y Licencias</t>
  </si>
  <si>
    <t>TOTAL</t>
  </si>
  <si>
    <t>Total Horas</t>
  </si>
  <si>
    <t>Gerente de proyectos</t>
  </si>
  <si>
    <t>Empresa 2</t>
  </si>
  <si>
    <t>Activo Corriente</t>
  </si>
  <si>
    <t>Pasivo Corriente</t>
  </si>
  <si>
    <t>Activo Total</t>
  </si>
  <si>
    <t>Pasivo total</t>
  </si>
  <si>
    <t>Utilidad Operacional</t>
  </si>
  <si>
    <t>Gastos de Intereses</t>
  </si>
  <si>
    <t>Índice de Liquidez</t>
  </si>
  <si>
    <t>Capital de Trabajo</t>
  </si>
  <si>
    <t>Índice de Endeudamiento</t>
  </si>
  <si>
    <t>Razón de Cobertura</t>
  </si>
  <si>
    <t>Patrimonio</t>
  </si>
  <si>
    <t>Nota: modificar los indicadores según el proceso</t>
  </si>
  <si>
    <t>Opción 1 - Según % Participación</t>
  </si>
  <si>
    <t>Opción 2</t>
  </si>
  <si>
    <t>Indice de Liquidez</t>
  </si>
  <si>
    <t>Indice de Endeudamiento</t>
  </si>
  <si>
    <t>Razón de Cobertura de Intereses</t>
  </si>
  <si>
    <t>&gt;=20% Ptto Oficial</t>
  </si>
  <si>
    <t>Rentabilidad del Patrimonio</t>
  </si>
  <si>
    <t>Rentabilidad del Activo</t>
  </si>
  <si>
    <t>Valor del Contrato</t>
  </si>
  <si>
    <t>Desde</t>
  </si>
  <si>
    <t>Hasta</t>
  </si>
  <si>
    <t>Meses</t>
  </si>
  <si>
    <t>Porcentaje</t>
  </si>
  <si>
    <t>Vr. Asegurado</t>
  </si>
  <si>
    <t>Días</t>
  </si>
  <si>
    <t>Tasa</t>
  </si>
  <si>
    <t>Prorrata</t>
  </si>
  <si>
    <t>Prima</t>
  </si>
  <si>
    <t>Seriedad</t>
  </si>
  <si>
    <t>Cumplimiento</t>
  </si>
  <si>
    <t>Buen manejo del anticipo</t>
  </si>
  <si>
    <t>Pago de Salarios</t>
  </si>
  <si>
    <t>Estabilidad</t>
  </si>
  <si>
    <t>Calidad</t>
  </si>
  <si>
    <t>Subtotal</t>
  </si>
  <si>
    <t>Total</t>
  </si>
  <si>
    <t>Gastos Expedición</t>
  </si>
  <si>
    <t>IVA</t>
  </si>
  <si>
    <t xml:space="preserve">Garantía </t>
  </si>
  <si>
    <t>R.C.E.</t>
  </si>
  <si>
    <t>Máximo puntos</t>
  </si>
  <si>
    <t>Con IVA</t>
  </si>
  <si>
    <t>PPTO</t>
  </si>
  <si>
    <t>Media aritmética</t>
  </si>
  <si>
    <t>Media Armónica</t>
  </si>
  <si>
    <t>Media Geométrica</t>
  </si>
  <si>
    <t>Menor Valor</t>
  </si>
  <si>
    <t>Media Aritmética Alta</t>
  </si>
  <si>
    <t>Media Geométrica con ppto Oficial</t>
  </si>
  <si>
    <t>Empresa 1</t>
  </si>
  <si>
    <t>x</t>
  </si>
  <si>
    <t>Empresa 3</t>
  </si>
  <si>
    <t>Empresa 4</t>
  </si>
  <si>
    <t>Empresa 5</t>
  </si>
  <si>
    <t>Empresa 6</t>
  </si>
  <si>
    <t>Empresa 7</t>
  </si>
  <si>
    <t>Empresa 8</t>
  </si>
  <si>
    <t>Empresa 9</t>
  </si>
  <si>
    <t># Pptas Válidas Habilitadas</t>
  </si>
  <si>
    <t>FT-094-CO V.4</t>
  </si>
  <si>
    <r>
      <t xml:space="preserve">Aplica: </t>
    </r>
    <r>
      <rPr>
        <sz val="10"/>
        <color theme="0"/>
        <rFont val="Bahnschrift Light"/>
        <family val="2"/>
      </rPr>
      <t>Certificado de experiencia, nombre de profesional, puntaje a asignar</t>
    </r>
  </si>
  <si>
    <r>
      <t>DEDUCIBLE:</t>
    </r>
    <r>
      <rPr>
        <sz val="10"/>
        <rFont val="Bahnschrift Light"/>
        <family val="2"/>
      </rPr>
      <t xml:space="preserve"> </t>
    </r>
  </si>
  <si>
    <t>SG</t>
  </si>
  <si>
    <t>&gt;=1.5</t>
  </si>
  <si>
    <t>&lt;=75%</t>
  </si>
  <si>
    <t>&gt;=1.3</t>
  </si>
  <si>
    <t>&gt;=1%</t>
  </si>
  <si>
    <t>PRIMA TOTAL</t>
  </si>
  <si>
    <t>TOTALES</t>
  </si>
  <si>
    <t>Total  V.A</t>
  </si>
  <si>
    <r>
      <t xml:space="preserve">* Diligencias </t>
    </r>
    <r>
      <rPr>
        <b/>
        <i/>
        <sz val="10"/>
        <rFont val="Bahnschrift Light"/>
        <family val="2"/>
      </rPr>
      <t>únicamente</t>
    </r>
    <r>
      <rPr>
        <i/>
        <sz val="10"/>
        <rFont val="Bahnschrift Light"/>
        <family val="2"/>
      </rPr>
      <t xml:space="preserve"> los espacios en color azul </t>
    </r>
  </si>
  <si>
    <t>X</t>
  </si>
  <si>
    <t>AÑOS</t>
  </si>
  <si>
    <t>MESES</t>
  </si>
  <si>
    <t xml:space="preserve">DIAS </t>
  </si>
  <si>
    <t>EXPERIENCIA HABILITANTE</t>
  </si>
  <si>
    <t xml:space="preserve">EXPERIENCIA ESPECIFICA </t>
  </si>
  <si>
    <t xml:space="preserve">EXPERIENCIA PERFILES </t>
  </si>
  <si>
    <t xml:space="preserve">¿Cómo nos van a pagar? </t>
  </si>
  <si>
    <t xml:space="preserve">¿El servicio es presencial o remoto? </t>
  </si>
  <si>
    <t xml:space="preserve">¿Cómo esta establecido el formato para la presentación de la oferta económica? </t>
  </si>
  <si>
    <t xml:space="preserve">¿El porcentaje de asignación de los perfiles? </t>
  </si>
  <si>
    <t xml:space="preserve">¿Tiene Garantía? ¿Cuánto tiempo? </t>
  </si>
  <si>
    <t xml:space="preserve">¿La oferta incluye ofrecimientos adicionales (bolsa de horas, capacitación, perfiles sin costo)? </t>
  </si>
  <si>
    <t xml:space="preserve">¿Sobre que tecnología esta el requerimiento (App, Sistema de información, etc.)? </t>
  </si>
  <si>
    <t>¿ANS de atención (7x24, 5x9, 5x25, etc.)?  El tiempo de atención mide desde que se crea el ticket hasta que la mesa de servicio toma propiedad, en modalidad 5X8</t>
  </si>
  <si>
    <t>¿Cómo evalúan la oferta económica? Menor valor</t>
  </si>
  <si>
    <t>Rentabilidad del patrimonio</t>
  </si>
  <si>
    <t>Rentabilidad del activo</t>
  </si>
  <si>
    <t>Indicadores financieros</t>
  </si>
  <si>
    <t>Razón de Cobertura a intereses</t>
  </si>
  <si>
    <t>Indicadores organizacionales</t>
  </si>
  <si>
    <t xml:space="preserve">SOFTGIC </t>
  </si>
  <si>
    <t>REQUERIDO</t>
  </si>
  <si>
    <t xml:space="preserve">Mayor o igual </t>
  </si>
  <si>
    <t xml:space="preserve">Menoro igual </t>
  </si>
  <si>
    <t xml:space="preserve">Cronograma </t>
  </si>
  <si>
    <t>CRONOGRAMA PLIEGOS</t>
  </si>
  <si>
    <t>Presupuesto en SMMLV</t>
  </si>
  <si>
    <t>Bonificación</t>
  </si>
  <si>
    <t xml:space="preserve">Patrimonio </t>
  </si>
  <si>
    <t>Cantidad</t>
  </si>
  <si>
    <t>$ Utilidad</t>
  </si>
  <si>
    <t>PRECIO ARTIFICIALMENTE BAJO</t>
  </si>
  <si>
    <t>MÁS DE 5 OFERTAS</t>
  </si>
  <si>
    <t>CALCULO PRECIO ARTIFICIALMENTE BAJO</t>
  </si>
  <si>
    <t>PRESUPUESTO OFICIAL</t>
  </si>
  <si>
    <t>PROPONENTE 6</t>
  </si>
  <si>
    <t>DESVIACION ESTANDAR</t>
  </si>
  <si>
    <t>PROPONENTE 7</t>
  </si>
  <si>
    <t>MEDIANA</t>
  </si>
  <si>
    <t>PROPONENTE 8</t>
  </si>
  <si>
    <t>PROPONENTE 9</t>
  </si>
  <si>
    <t>VALOR MINIMO ACEPTABLE = MEDIANA -DESVIACION ESTANDAR</t>
  </si>
  <si>
    <t>PROPONENTE 10</t>
  </si>
  <si>
    <t>ELABORADO POR:</t>
  </si>
  <si>
    <t>PROPONENTE 1</t>
  </si>
  <si>
    <t>PROPONENTE 2</t>
  </si>
  <si>
    <t>PROPONENTE 3</t>
  </si>
  <si>
    <t>PROPONENTE 4</t>
  </si>
  <si>
    <t>PROPONENTE 5</t>
  </si>
  <si>
    <t>Perfiles</t>
  </si>
  <si>
    <t>Rol</t>
  </si>
  <si>
    <t>Requicitos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</si>
</sst>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_-&quot;$&quot;\ * #,##0_-;\-&quot;$&quot;\ * #,##0_-;_-&quot;$&quot;\ * &quot;-&quot;_-;_-@_-"/>
    <numFmt numFmtId="166" formatCode="_-&quot;$&quot;\ * #,##0.00_-;\-&quot;$&quot;\ * #,##0.00_-;_-&quot;$&quot;\ * &quot;-&quot;??_-;_-@_-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&quot;$&quot;* #,##0_);_(&quot;$&quot;* \(#,##0\);_(&quot;$&quot;* &quot;-&quot;??_);_(@_)"/>
    <numFmt numFmtId="170" formatCode="&quot;$&quot;\ #,##0"/>
    <numFmt numFmtId="171" formatCode="dd/mm/yyyy;@"/>
    <numFmt numFmtId="172" formatCode="_ &quot;$&quot;\ * #,##0_ ;_ &quot;$&quot;\ * \-#,##0_ ;_ &quot;$&quot;\ * &quot;-&quot;_ ;_ @_ "/>
    <numFmt numFmtId="173" formatCode="_-&quot;$&quot;\ * #,##0_-;\-&quot;$&quot;\ * #,##0_-;_-&quot;$&quot;\ * &quot;-&quot;??_-;_-@_-"/>
    <numFmt numFmtId="174" formatCode="_-* #,##0.00_-;\-* #,##0.00_-;_-* &quot;-&quot;_-;_-@_-"/>
    <numFmt numFmtId="175" formatCode="_-* #,##0.0_-;\-* #,##0.0_-;_-* &quot;-&quot;_-;_-@_-"/>
    <numFmt numFmtId="176" formatCode="_-* #,##0.00_-;\-* #,##0.00_-;_-* &quot;-&quot;??_-;_-@"/>
    <numFmt numFmtId="177" formatCode="_(&quot;$&quot;\ * #,##0.00_);_(&quot;$&quot;\ * \(#,##0.00\);_(&quot;$&quot;\ * &quot;-&quot;??_);_(@_)"/>
    <numFmt numFmtId="178" formatCode="0.000"/>
    <numFmt numFmtId="179" formatCode="0.0000"/>
    <numFmt numFmtId="180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Bahnschrift Light"/>
      <family val="2"/>
    </font>
    <font>
      <b/>
      <sz val="10"/>
      <color theme="0"/>
      <name val="Bahnschrift Light"/>
      <family val="2"/>
    </font>
    <font>
      <b/>
      <sz val="10"/>
      <name val="Bahnschrift Light"/>
      <family val="2"/>
    </font>
    <font>
      <b/>
      <sz val="11"/>
      <name val="Bahnschrift Light"/>
      <family val="2"/>
    </font>
    <font>
      <sz val="10"/>
      <color theme="0"/>
      <name val="Bahnschrift Light"/>
      <family val="2"/>
    </font>
    <font>
      <sz val="10"/>
      <color theme="1"/>
      <name val="Bahnschrift Light"/>
      <family val="2"/>
    </font>
    <font>
      <b/>
      <sz val="10"/>
      <color theme="1"/>
      <name val="Bahnschrift Light"/>
      <family val="2"/>
    </font>
    <font>
      <b/>
      <sz val="10"/>
      <color rgb="FFFF0000"/>
      <name val="Bahnschrift Light"/>
      <family val="2"/>
    </font>
    <font>
      <sz val="10"/>
      <color rgb="FFFF0000"/>
      <name val="Bahnschrift Light"/>
      <family val="2"/>
    </font>
    <font>
      <i/>
      <sz val="10"/>
      <name val="Bahnschrift Light"/>
      <family val="2"/>
    </font>
    <font>
      <b/>
      <i/>
      <sz val="10"/>
      <name val="Bahnschrift Light"/>
      <family val="2"/>
    </font>
    <font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1"/>
      <color theme="1"/>
      <name val="Bahnschrift Light"/>
      <family val="2"/>
    </font>
    <font>
      <sz val="11"/>
      <color theme="1"/>
      <name val="Bahnschrift Light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0"/>
      <name val="Bahnschrift Light"/>
      <family val="2"/>
    </font>
  </fonts>
  <fills count="16">
    <fill>
      <patternFill patternType="none"/>
    </fill>
    <fill>
      <patternFill patternType="gray125"/>
    </fill>
    <fill>
      <patternFill patternType="solid">
        <fgColor rgb="FF32B6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C0E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4">
    <border>
      <left/>
      <right/>
      <top/>
      <bottom/>
      <diagonal/>
    </border>
    <border>
      <left style="thin">
        <color rgb="FF32B6E9"/>
      </left>
      <right style="thin">
        <color rgb="FF32B6E9"/>
      </right>
      <top style="thin">
        <color rgb="FF32B6E9"/>
      </top>
      <bottom style="thin">
        <color rgb="FF32B6E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32B6E9"/>
      </bottom>
      <diagonal/>
    </border>
    <border>
      <left style="thin">
        <color rgb="FF32B6E9"/>
      </left>
      <right style="thin">
        <color theme="0"/>
      </right>
      <top style="thin">
        <color rgb="FF32B6E9"/>
      </top>
      <bottom style="thin">
        <color rgb="FF32B6E9"/>
      </bottom>
      <diagonal/>
    </border>
    <border>
      <left style="thin">
        <color theme="0"/>
      </left>
      <right style="thin">
        <color theme="0"/>
      </right>
      <top style="thin">
        <color rgb="FF32B6E9"/>
      </top>
      <bottom style="thin">
        <color rgb="FF32B6E9"/>
      </bottom>
      <diagonal/>
    </border>
    <border>
      <left style="thin">
        <color theme="0"/>
      </left>
      <right style="thin">
        <color rgb="FF32B6E9"/>
      </right>
      <top style="thin">
        <color rgb="FF32B6E9"/>
      </top>
      <bottom style="thin">
        <color rgb="FF32B6E9"/>
      </bottom>
      <diagonal/>
    </border>
    <border>
      <left/>
      <right style="thin">
        <color rgb="FF53C0EF"/>
      </right>
      <top style="thin">
        <color rgb="FF53C0EF"/>
      </top>
      <bottom style="thin">
        <color rgb="FF53C0EF"/>
      </bottom>
      <diagonal/>
    </border>
    <border>
      <left style="thin">
        <color rgb="FF53C0EF"/>
      </left>
      <right style="thin">
        <color rgb="FF53C0EF"/>
      </right>
      <top style="thin">
        <color rgb="FF53C0EF"/>
      </top>
      <bottom style="thin">
        <color rgb="FF53C0EF"/>
      </bottom>
      <diagonal/>
    </border>
    <border>
      <left style="thin">
        <color rgb="FF53C0EF"/>
      </left>
      <right style="medium">
        <color theme="0"/>
      </right>
      <top style="thin">
        <color rgb="FF53C0EF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53C0EF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rgb="FF53C0EF"/>
      </left>
      <right style="thin">
        <color rgb="FF53C0EF"/>
      </right>
      <top/>
      <bottom style="thin">
        <color rgb="FF53C0EF"/>
      </bottom>
      <diagonal/>
    </border>
    <border>
      <left style="thin">
        <color rgb="FF53C0EF"/>
      </left>
      <right style="thin">
        <color rgb="FF53C0EF"/>
      </right>
      <top style="thin">
        <color rgb="FF53C0EF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rgb="FF53C0EF"/>
      </top>
      <bottom style="thin">
        <color rgb="FF53C0EF"/>
      </bottom>
      <diagonal/>
    </border>
    <border>
      <left style="thin">
        <color rgb="FF53C0EF"/>
      </left>
      <right style="thin">
        <color theme="0"/>
      </right>
      <top style="thin">
        <color rgb="FF53C0EF"/>
      </top>
      <bottom style="thin">
        <color rgb="FF53C0EF"/>
      </bottom>
      <diagonal/>
    </border>
    <border>
      <left style="thin">
        <color theme="0"/>
      </left>
      <right style="thin">
        <color theme="0"/>
      </right>
      <top/>
      <bottom style="thin">
        <color rgb="FF32B6E9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6">
    <xf numFmtId="0" fontId="0" fillId="0" borderId="0" xfId="0"/>
    <xf numFmtId="1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8" borderId="9" xfId="0" applyFont="1" applyFill="1" applyBorder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horizontal="center" vertical="center"/>
    </xf>
    <xf numFmtId="43" fontId="4" fillId="0" borderId="8" xfId="2" applyFont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7" fillId="0" borderId="0" xfId="0" applyFont="1"/>
    <xf numFmtId="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9" fontId="7" fillId="0" borderId="0" xfId="4" applyNumberFormat="1" applyFont="1" applyFill="1"/>
    <xf numFmtId="169" fontId="7" fillId="0" borderId="0" xfId="0" applyNumberFormat="1" applyFont="1"/>
    <xf numFmtId="2" fontId="7" fillId="3" borderId="0" xfId="0" applyNumberFormat="1" applyFont="1" applyFill="1"/>
    <xf numFmtId="0" fontId="7" fillId="0" borderId="0" xfId="0" applyFont="1" applyAlignment="1">
      <alignment horizontal="center"/>
    </xf>
    <xf numFmtId="0" fontId="7" fillId="3" borderId="0" xfId="0" applyFont="1" applyFill="1"/>
    <xf numFmtId="9" fontId="7" fillId="3" borderId="0" xfId="0" applyNumberFormat="1" applyFont="1" applyFill="1"/>
    <xf numFmtId="169" fontId="7" fillId="0" borderId="0" xfId="4" applyNumberFormat="1" applyFont="1" applyFill="1" applyAlignment="1">
      <alignment horizontal="right"/>
    </xf>
    <xf numFmtId="169" fontId="7" fillId="0" borderId="0" xfId="4" applyNumberFormat="1" applyFont="1" applyAlignment="1">
      <alignment horizontal="center"/>
    </xf>
    <xf numFmtId="9" fontId="7" fillId="0" borderId="0" xfId="1" applyFont="1"/>
    <xf numFmtId="9" fontId="7" fillId="0" borderId="0" xfId="1" applyFont="1" applyAlignment="1">
      <alignment horizontal="center"/>
    </xf>
    <xf numFmtId="0" fontId="6" fillId="4" borderId="0" xfId="0" applyFont="1" applyFill="1" applyAlignment="1">
      <alignment horizontal="center"/>
    </xf>
    <xf numFmtId="169" fontId="7" fillId="0" borderId="0" xfId="0" applyNumberFormat="1" applyFont="1" applyAlignment="1">
      <alignment horizontal="center"/>
    </xf>
    <xf numFmtId="169" fontId="7" fillId="3" borderId="0" xfId="4" applyNumberFormat="1" applyFont="1" applyFill="1"/>
    <xf numFmtId="169" fontId="7" fillId="0" borderId="0" xfId="4" applyNumberFormat="1" applyFont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69" fontId="9" fillId="0" borderId="0" xfId="0" applyNumberFormat="1" applyFont="1"/>
    <xf numFmtId="169" fontId="9" fillId="0" borderId="0" xfId="0" applyNumberFormat="1" applyFont="1" applyAlignment="1">
      <alignment horizontal="center"/>
    </xf>
    <xf numFmtId="0" fontId="7" fillId="0" borderId="0" xfId="0" quotePrefix="1" applyFont="1" applyAlignment="1">
      <alignment horizontal="center" vertical="center"/>
    </xf>
    <xf numFmtId="0" fontId="7" fillId="0" borderId="0" xfId="0" quotePrefix="1" applyFont="1" applyAlignment="1">
      <alignment horizontal="center" vertical="center" wrapText="1"/>
    </xf>
    <xf numFmtId="9" fontId="7" fillId="3" borderId="0" xfId="1" applyFont="1" applyFill="1" applyAlignment="1">
      <alignment horizontal="center"/>
    </xf>
    <xf numFmtId="42" fontId="7" fillId="0" borderId="0" xfId="3" applyFont="1" applyAlignment="1">
      <alignment horizontal="center" vertical="center"/>
    </xf>
    <xf numFmtId="9" fontId="7" fillId="3" borderId="0" xfId="1" applyFont="1" applyFill="1"/>
    <xf numFmtId="168" fontId="7" fillId="3" borderId="0" xfId="5" applyFont="1" applyFill="1"/>
    <xf numFmtId="169" fontId="7" fillId="0" borderId="0" xfId="4" applyNumberFormat="1" applyFont="1"/>
    <xf numFmtId="9" fontId="7" fillId="0" borderId="0" xfId="0" applyNumberFormat="1" applyFont="1"/>
    <xf numFmtId="42" fontId="7" fillId="0" borderId="0" xfId="0" applyNumberFormat="1" applyFont="1"/>
    <xf numFmtId="42" fontId="7" fillId="0" borderId="0" xfId="3" applyFont="1"/>
    <xf numFmtId="2" fontId="7" fillId="0" borderId="0" xfId="0" applyNumberFormat="1" applyFont="1"/>
    <xf numFmtId="9" fontId="7" fillId="0" borderId="0" xfId="1" applyFont="1" applyFill="1"/>
    <xf numFmtId="0" fontId="2" fillId="7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7" fontId="2" fillId="0" borderId="1" xfId="4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7" borderId="3" xfId="0" applyFont="1" applyFill="1" applyBorder="1" applyAlignment="1">
      <alignment vertical="center"/>
    </xf>
    <xf numFmtId="167" fontId="2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vertical="center"/>
    </xf>
    <xf numFmtId="169" fontId="2" fillId="0" borderId="1" xfId="0" applyNumberFormat="1" applyFont="1" applyBorder="1" applyAlignment="1">
      <alignment vertical="center"/>
    </xf>
    <xf numFmtId="167" fontId="2" fillId="7" borderId="1" xfId="0" applyNumberFormat="1" applyFont="1" applyFill="1" applyBorder="1" applyAlignment="1">
      <alignment vertical="center"/>
    </xf>
    <xf numFmtId="167" fontId="2" fillId="7" borderId="1" xfId="4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9" fontId="2" fillId="0" borderId="1" xfId="4" applyNumberFormat="1" applyFont="1" applyBorder="1" applyAlignment="1">
      <alignment vertical="center"/>
    </xf>
    <xf numFmtId="9" fontId="2" fillId="0" borderId="1" xfId="1" applyFont="1" applyBorder="1" applyAlignment="1">
      <alignment vertical="center"/>
    </xf>
    <xf numFmtId="174" fontId="2" fillId="0" borderId="1" xfId="6" applyNumberFormat="1" applyFont="1" applyBorder="1" applyAlignment="1">
      <alignment vertical="center"/>
    </xf>
    <xf numFmtId="175" fontId="2" fillId="7" borderId="1" xfId="6" applyNumberFormat="1" applyFont="1" applyFill="1" applyBorder="1" applyAlignment="1">
      <alignment vertical="center"/>
    </xf>
    <xf numFmtId="2" fontId="2" fillId="0" borderId="0" xfId="0" applyNumberFormat="1" applyFont="1" applyAlignment="1">
      <alignment vertical="center"/>
    </xf>
    <xf numFmtId="174" fontId="2" fillId="0" borderId="1" xfId="6" applyNumberFormat="1" applyFont="1" applyFill="1" applyBorder="1" applyAlignment="1">
      <alignment vertical="center"/>
    </xf>
    <xf numFmtId="174" fontId="2" fillId="7" borderId="1" xfId="6" applyNumberFormat="1" applyFont="1" applyFill="1" applyBorder="1" applyAlignment="1">
      <alignment vertical="center"/>
    </xf>
    <xf numFmtId="9" fontId="2" fillId="0" borderId="1" xfId="1" applyFont="1" applyFill="1" applyBorder="1" applyAlignment="1">
      <alignment vertical="center"/>
    </xf>
    <xf numFmtId="42" fontId="2" fillId="0" borderId="0" xfId="3" applyFont="1" applyAlignment="1">
      <alignment vertical="center"/>
    </xf>
    <xf numFmtId="9" fontId="2" fillId="0" borderId="0" xfId="0" applyNumberFormat="1" applyFont="1" applyAlignment="1">
      <alignment vertical="center"/>
    </xf>
    <xf numFmtId="9" fontId="2" fillId="0" borderId="0" xfId="1" applyFont="1" applyAlignment="1">
      <alignment vertical="center"/>
    </xf>
    <xf numFmtId="167" fontId="3" fillId="2" borderId="21" xfId="4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7" fontId="7" fillId="0" borderId="0" xfId="4" applyFont="1"/>
    <xf numFmtId="43" fontId="2" fillId="7" borderId="1" xfId="2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3" borderId="12" xfId="4" applyFont="1" applyFill="1" applyBorder="1" applyAlignment="1">
      <alignment horizontal="left" vertical="center"/>
    </xf>
    <xf numFmtId="3" fontId="4" fillId="0" borderId="0" xfId="0" applyNumberFormat="1" applyFont="1" applyAlignment="1" applyProtection="1">
      <alignment horizontal="center" vertical="center"/>
      <protection hidden="1"/>
    </xf>
    <xf numFmtId="3" fontId="2" fillId="0" borderId="0" xfId="0" applyNumberFormat="1" applyFont="1" applyAlignment="1" applyProtection="1">
      <alignment vertical="center"/>
      <protection hidden="1"/>
    </xf>
    <xf numFmtId="0" fontId="7" fillId="0" borderId="0" xfId="0" applyFont="1" applyAlignment="1">
      <alignment vertical="center"/>
    </xf>
    <xf numFmtId="1" fontId="2" fillId="0" borderId="2" xfId="0" applyNumberFormat="1" applyFont="1" applyBorder="1" applyAlignment="1" applyProtection="1">
      <alignment vertical="center"/>
      <protection hidden="1"/>
    </xf>
    <xf numFmtId="2" fontId="2" fillId="0" borderId="2" xfId="0" applyNumberFormat="1" applyFont="1" applyBorder="1" applyAlignment="1" applyProtection="1">
      <alignment horizontal="center" vertical="center"/>
      <protection locked="0"/>
    </xf>
    <xf numFmtId="171" fontId="2" fillId="0" borderId="0" xfId="0" applyNumberFormat="1" applyFont="1" applyAlignment="1" applyProtection="1">
      <alignment vertical="center"/>
      <protection hidden="1"/>
    </xf>
    <xf numFmtId="3" fontId="4" fillId="0" borderId="0" xfId="0" applyNumberFormat="1" applyFont="1" applyAlignment="1" applyProtection="1">
      <alignment vertical="center"/>
      <protection hidden="1"/>
    </xf>
    <xf numFmtId="3" fontId="3" fillId="9" borderId="2" xfId="0" applyNumberFormat="1" applyFont="1" applyFill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vertical="center"/>
      <protection hidden="1"/>
    </xf>
    <xf numFmtId="170" fontId="2" fillId="0" borderId="2" xfId="0" applyNumberFormat="1" applyFont="1" applyBorder="1" applyAlignment="1" applyProtection="1">
      <alignment vertical="center"/>
      <protection hidden="1"/>
    </xf>
    <xf numFmtId="10" fontId="2" fillId="0" borderId="2" xfId="0" applyNumberFormat="1" applyFont="1" applyBorder="1" applyAlignment="1" applyProtection="1">
      <alignment horizontal="center" vertical="center"/>
      <protection locked="0"/>
    </xf>
    <xf numFmtId="172" fontId="2" fillId="0" borderId="2" xfId="0" applyNumberFormat="1" applyFont="1" applyBorder="1" applyAlignment="1" applyProtection="1">
      <alignment horizontal="right" vertical="center"/>
      <protection hidden="1"/>
    </xf>
    <xf numFmtId="172" fontId="2" fillId="0" borderId="2" xfId="0" applyNumberFormat="1" applyFont="1" applyBorder="1" applyAlignment="1" applyProtection="1">
      <alignment vertical="center"/>
      <protection hidden="1"/>
    </xf>
    <xf numFmtId="171" fontId="2" fillId="0" borderId="2" xfId="0" applyNumberFormat="1" applyFont="1" applyBorder="1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2" fillId="10" borderId="2" xfId="0" applyNumberFormat="1" applyFont="1" applyFill="1" applyBorder="1" applyAlignment="1" applyProtection="1">
      <alignment vertical="center"/>
      <protection hidden="1"/>
    </xf>
    <xf numFmtId="4" fontId="2" fillId="0" borderId="0" xfId="0" applyNumberFormat="1" applyFont="1" applyAlignment="1" applyProtection="1">
      <alignment vertical="center"/>
      <protection hidden="1"/>
    </xf>
    <xf numFmtId="3" fontId="4" fillId="0" borderId="2" xfId="0" applyNumberFormat="1" applyFont="1" applyBorder="1" applyAlignment="1" applyProtection="1">
      <alignment horizontal="left" vertical="center"/>
      <protection hidden="1"/>
    </xf>
    <xf numFmtId="3" fontId="4" fillId="0" borderId="2" xfId="0" applyNumberFormat="1" applyFont="1" applyBorder="1" applyAlignment="1" applyProtection="1">
      <alignment vertical="center"/>
      <protection hidden="1"/>
    </xf>
    <xf numFmtId="3" fontId="4" fillId="5" borderId="2" xfId="0" applyNumberFormat="1" applyFont="1" applyFill="1" applyBorder="1" applyAlignment="1" applyProtection="1">
      <alignment vertical="center"/>
      <protection hidden="1"/>
    </xf>
    <xf numFmtId="3" fontId="4" fillId="11" borderId="2" xfId="0" applyNumberFormat="1" applyFont="1" applyFill="1" applyBorder="1" applyAlignment="1" applyProtection="1">
      <alignment vertical="center"/>
      <protection hidden="1"/>
    </xf>
    <xf numFmtId="3" fontId="2" fillId="0" borderId="2" xfId="0" applyNumberFormat="1" applyFont="1" applyBorder="1" applyAlignment="1" applyProtection="1">
      <alignment horizontal="right" vertical="center"/>
      <protection hidden="1"/>
    </xf>
    <xf numFmtId="3" fontId="2" fillId="0" borderId="2" xfId="0" applyNumberFormat="1" applyFont="1" applyBorder="1" applyAlignment="1" applyProtection="1">
      <alignment horizontal="left" vertical="center"/>
      <protection hidden="1"/>
    </xf>
    <xf numFmtId="49" fontId="2" fillId="0" borderId="0" xfId="0" applyNumberFormat="1" applyFont="1" applyAlignment="1" applyProtection="1">
      <alignment vertical="center"/>
      <protection hidden="1"/>
    </xf>
    <xf numFmtId="9" fontId="3" fillId="4" borderId="2" xfId="0" applyNumberFormat="1" applyFont="1" applyFill="1" applyBorder="1" applyAlignment="1" applyProtection="1">
      <alignment horizontal="center" vertical="center"/>
      <protection locked="0"/>
    </xf>
    <xf numFmtId="171" fontId="3" fillId="4" borderId="2" xfId="0" applyNumberFormat="1" applyFont="1" applyFill="1" applyBorder="1" applyAlignment="1" applyProtection="1">
      <alignment horizontal="center" vertical="center"/>
      <protection locked="0"/>
    </xf>
    <xf numFmtId="170" fontId="3" fillId="4" borderId="2" xfId="0" applyNumberFormat="1" applyFont="1" applyFill="1" applyBorder="1" applyAlignment="1" applyProtection="1">
      <alignment horizontal="center" vertical="center"/>
      <protection locked="0"/>
    </xf>
    <xf numFmtId="3" fontId="3" fillId="9" borderId="23" xfId="0" applyNumberFormat="1" applyFont="1" applyFill="1" applyBorder="1" applyAlignment="1" applyProtection="1">
      <alignment horizontal="center" vertical="center"/>
      <protection hidden="1"/>
    </xf>
    <xf numFmtId="3" fontId="3" fillId="9" borderId="22" xfId="0" applyNumberFormat="1" applyFont="1" applyFill="1" applyBorder="1" applyAlignment="1" applyProtection="1">
      <alignment horizontal="center" vertical="center"/>
      <protection hidden="1"/>
    </xf>
    <xf numFmtId="3" fontId="3" fillId="9" borderId="24" xfId="0" applyNumberFormat="1" applyFont="1" applyFill="1" applyBorder="1" applyAlignment="1" applyProtection="1">
      <alignment horizontal="center" vertical="center"/>
      <protection hidden="1"/>
    </xf>
    <xf numFmtId="9" fontId="3" fillId="4" borderId="2" xfId="0" applyNumberFormat="1" applyFont="1" applyFill="1" applyBorder="1" applyAlignment="1" applyProtection="1">
      <alignment horizontal="center" vertical="center"/>
      <protection hidden="1"/>
    </xf>
    <xf numFmtId="171" fontId="3" fillId="4" borderId="2" xfId="0" applyNumberFormat="1" applyFont="1" applyFill="1" applyBorder="1" applyAlignment="1" applyProtection="1">
      <alignment horizontal="center" vertical="center"/>
      <protection hidden="1"/>
    </xf>
    <xf numFmtId="3" fontId="11" fillId="0" borderId="0" xfId="0" applyNumberFormat="1" applyFont="1" applyAlignment="1" applyProtection="1">
      <alignment vertical="center"/>
      <protection hidden="1"/>
    </xf>
    <xf numFmtId="169" fontId="2" fillId="0" borderId="0" xfId="0" applyNumberFormat="1" applyFont="1" applyAlignment="1">
      <alignment vertical="center"/>
    </xf>
    <xf numFmtId="169" fontId="2" fillId="7" borderId="1" xfId="4" applyNumberFormat="1" applyFont="1" applyFill="1" applyBorder="1" applyAlignment="1">
      <alignment horizontal="left" vertical="center" indent="3"/>
    </xf>
    <xf numFmtId="0" fontId="13" fillId="0" borderId="0" xfId="0" applyFont="1" applyAlignment="1">
      <alignment horizontal="right" vertical="center"/>
    </xf>
    <xf numFmtId="14" fontId="0" fillId="0" borderId="0" xfId="0" applyNumberFormat="1"/>
    <xf numFmtId="2" fontId="13" fillId="12" borderId="0" xfId="0" applyNumberFormat="1" applyFont="1" applyFill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66" fontId="13" fillId="0" borderId="0" xfId="7" applyFont="1" applyAlignment="1">
      <alignment vertical="center"/>
    </xf>
    <xf numFmtId="14" fontId="14" fillId="0" borderId="0" xfId="7" applyNumberFormat="1" applyFont="1" applyAlignment="1">
      <alignment vertical="center"/>
    </xf>
    <xf numFmtId="173" fontId="14" fillId="0" borderId="0" xfId="7" applyNumberFormat="1" applyFont="1" applyAlignment="1">
      <alignment vertical="center"/>
    </xf>
    <xf numFmtId="173" fontId="14" fillId="0" borderId="0" xfId="7" applyNumberFormat="1" applyFont="1" applyFill="1" applyAlignment="1">
      <alignment vertical="center"/>
    </xf>
    <xf numFmtId="169" fontId="13" fillId="0" borderId="0" xfId="4" applyNumberFormat="1" applyFont="1" applyAlignment="1">
      <alignment vertical="center"/>
    </xf>
    <xf numFmtId="14" fontId="16" fillId="0" borderId="0" xfId="0" applyNumberFormat="1" applyFont="1"/>
    <xf numFmtId="164" fontId="2" fillId="0" borderId="0" xfId="0" applyNumberFormat="1" applyFont="1" applyAlignment="1">
      <alignment vertical="center"/>
    </xf>
    <xf numFmtId="164" fontId="15" fillId="0" borderId="0" xfId="0" applyNumberFormat="1" applyFont="1"/>
    <xf numFmtId="169" fontId="2" fillId="0" borderId="0" xfId="4" applyNumberFormat="1" applyFont="1" applyFill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173" fontId="7" fillId="0" borderId="0" xfId="7" applyNumberFormat="1" applyFont="1" applyAlignment="1">
      <alignment horizontal="center" vertical="center"/>
    </xf>
    <xf numFmtId="169" fontId="7" fillId="0" borderId="0" xfId="7" applyNumberFormat="1" applyFont="1" applyAlignment="1">
      <alignment horizontal="center" vertical="center"/>
    </xf>
    <xf numFmtId="169" fontId="7" fillId="3" borderId="0" xfId="7" applyNumberFormat="1" applyFont="1" applyFill="1"/>
    <xf numFmtId="178" fontId="7" fillId="0" borderId="0" xfId="0" applyNumberFormat="1" applyFont="1"/>
    <xf numFmtId="2" fontId="7" fillId="0" borderId="0" xfId="4" applyNumberFormat="1" applyFont="1"/>
    <xf numFmtId="178" fontId="7" fillId="0" borderId="0" xfId="4" applyNumberFormat="1" applyFont="1"/>
    <xf numFmtId="179" fontId="7" fillId="0" borderId="0" xfId="4" applyNumberFormat="1" applyFont="1"/>
    <xf numFmtId="179" fontId="7" fillId="0" borderId="0" xfId="0" applyNumberFormat="1" applyFont="1"/>
    <xf numFmtId="0" fontId="8" fillId="0" borderId="0" xfId="0" applyFont="1"/>
    <xf numFmtId="167" fontId="7" fillId="0" borderId="0" xfId="4" applyFont="1" applyAlignment="1">
      <alignment horizontal="right"/>
    </xf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10" borderId="0" xfId="0" applyFont="1" applyFill="1" applyAlignment="1">
      <alignment vertical="center"/>
    </xf>
    <xf numFmtId="0" fontId="8" fillId="10" borderId="25" xfId="0" applyFont="1" applyFill="1" applyBorder="1" applyAlignment="1">
      <alignment horizontal="center" vertical="center"/>
    </xf>
    <xf numFmtId="2" fontId="7" fillId="0" borderId="28" xfId="0" applyNumberFormat="1" applyFont="1" applyBorder="1" applyAlignment="1">
      <alignment vertical="center"/>
    </xf>
    <xf numFmtId="0" fontId="8" fillId="10" borderId="28" xfId="0" applyFont="1" applyFill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8" fillId="10" borderId="29" xfId="0" applyFont="1" applyFill="1" applyBorder="1" applyAlignment="1">
      <alignment vertical="center"/>
    </xf>
    <xf numFmtId="178" fontId="7" fillId="0" borderId="0" xfId="1" applyNumberFormat="1" applyFont="1" applyFill="1"/>
    <xf numFmtId="9" fontId="9" fillId="0" borderId="0" xfId="0" applyNumberFormat="1" applyFont="1" applyAlignment="1">
      <alignment horizontal="center"/>
    </xf>
    <xf numFmtId="169" fontId="7" fillId="0" borderId="28" xfId="4" applyNumberFormat="1" applyFont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18" fillId="0" borderId="0" xfId="0" applyFont="1"/>
    <xf numFmtId="0" fontId="17" fillId="13" borderId="0" xfId="0" applyFont="1" applyFill="1"/>
    <xf numFmtId="9" fontId="17" fillId="13" borderId="0" xfId="0" applyNumberFormat="1" applyFont="1" applyFill="1" applyAlignment="1">
      <alignment horizontal="center"/>
    </xf>
    <xf numFmtId="165" fontId="0" fillId="0" borderId="0" xfId="0" applyNumberFormat="1"/>
    <xf numFmtId="165" fontId="0" fillId="13" borderId="30" xfId="9" applyFont="1" applyFill="1" applyBorder="1"/>
    <xf numFmtId="165" fontId="0" fillId="0" borderId="0" xfId="9" applyFont="1"/>
    <xf numFmtId="2" fontId="0" fillId="0" borderId="0" xfId="9" applyNumberFormat="1" applyFont="1"/>
    <xf numFmtId="165" fontId="0" fillId="0" borderId="0" xfId="9" applyFont="1" applyFill="1"/>
    <xf numFmtId="0" fontId="17" fillId="0" borderId="0" xfId="0" applyFont="1"/>
    <xf numFmtId="165" fontId="0" fillId="0" borderId="30" xfId="9" applyFont="1" applyBorder="1"/>
    <xf numFmtId="165" fontId="0" fillId="0" borderId="30" xfId="0" applyNumberFormat="1" applyBorder="1"/>
    <xf numFmtId="178" fontId="7" fillId="0" borderId="28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4" fillId="0" borderId="13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167" fontId="2" fillId="3" borderId="12" xfId="4" applyFont="1" applyFill="1" applyBorder="1" applyAlignment="1">
      <alignment horizontal="right" vertical="center" wrapText="1"/>
    </xf>
    <xf numFmtId="180" fontId="2" fillId="3" borderId="12" xfId="2" applyNumberFormat="1" applyFont="1" applyFill="1" applyBorder="1" applyAlignment="1">
      <alignment horizontal="right" vertical="center" wrapText="1"/>
    </xf>
    <xf numFmtId="2" fontId="7" fillId="0" borderId="28" xfId="0" applyNumberFormat="1" applyFont="1" applyBorder="1" applyAlignment="1">
      <alignment horizontal="center" vertical="center" wrapText="1"/>
    </xf>
    <xf numFmtId="167" fontId="7" fillId="0" borderId="28" xfId="4" applyFont="1" applyBorder="1" applyAlignment="1">
      <alignment horizontal="right" vertical="center" wrapText="1"/>
    </xf>
    <xf numFmtId="0" fontId="7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9" borderId="17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8" borderId="26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3" fontId="4" fillId="11" borderId="2" xfId="0" applyNumberFormat="1" applyFont="1" applyFill="1" applyBorder="1" applyAlignment="1" applyProtection="1">
      <alignment horizontal="left" vertical="center"/>
      <protection hidden="1"/>
    </xf>
    <xf numFmtId="3" fontId="4" fillId="0" borderId="2" xfId="0" applyNumberFormat="1" applyFont="1" applyBorder="1" applyAlignment="1" applyProtection="1">
      <alignment horizontal="left" vertical="center"/>
      <protection hidden="1"/>
    </xf>
    <xf numFmtId="0" fontId="17" fillId="13" borderId="0" xfId="0" applyFont="1" applyFill="1" applyAlignment="1">
      <alignment horizontal="center"/>
    </xf>
    <xf numFmtId="165" fontId="19" fillId="14" borderId="0" xfId="0" applyNumberFormat="1" applyFont="1" applyFill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33" xfId="0" applyBorder="1" applyAlignment="1">
      <alignment wrapText="1"/>
    </xf>
    <xf numFmtId="0" fontId="0" fillId="0" borderId="33" xfId="0" applyFill="1" applyBorder="1" applyAlignment="1">
      <alignment wrapText="1"/>
    </xf>
    <xf numFmtId="0" fontId="17" fillId="15" borderId="31" xfId="0" applyFont="1" applyFill="1" applyBorder="1" applyAlignment="1">
      <alignment horizontal="center" wrapText="1"/>
    </xf>
    <xf numFmtId="0" fontId="17" fillId="8" borderId="32" xfId="0" applyFont="1" applyFill="1" applyBorder="1" applyAlignment="1">
      <alignment horizontal="center" wrapText="1"/>
    </xf>
  </cellXfs>
  <cellStyles count="10">
    <cellStyle name="Comma 2" xfId="5" xr:uid="{00000000-0005-0000-0000-000001000000}"/>
    <cellStyle name="Millares" xfId="2" builtinId="3"/>
    <cellStyle name="Millares [0]" xfId="6" builtinId="6"/>
    <cellStyle name="Moneda" xfId="4" builtinId="4"/>
    <cellStyle name="Moneda [0]" xfId="3" builtinId="7"/>
    <cellStyle name="Moneda [0] 2" xfId="9" xr:uid="{621997CB-8179-456B-B3DF-5845B80B2364}"/>
    <cellStyle name="Moneda 2" xfId="7" xr:uid="{B5A0E8C9-C9BF-41B8-B55D-F20FB8A4F2B0}"/>
    <cellStyle name="Moneda 3" xfId="8" xr:uid="{976D6982-39FB-4AB6-A1BC-2593DDA875A3}"/>
    <cellStyle name="Normal" xfId="0" builtinId="0"/>
    <cellStyle name="Porcentaje" xfId="1" builtinId="5"/>
  </cellStyles>
  <dxfs count="5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E66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theme="7" tint="0.79998168889431442"/>
        </patternFill>
      </fill>
    </dxf>
    <dxf>
      <font>
        <color rgb="FFC00000"/>
      </font>
      <fill>
        <patternFill>
          <bgColor rgb="FFFFCDC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DCD"/>
      <color rgb="FFFFD3D3"/>
      <color rgb="FF2BF52B"/>
      <color rgb="FF53C0EF"/>
      <color rgb="FF32B6E9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1806676</xdr:colOff>
      <xdr:row>4</xdr:row>
      <xdr:rowOff>1815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9953C3-C158-4D6C-9F8D-B06F4A9804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13" t="12783" r="6673" b="15461"/>
        <a:stretch/>
      </xdr:blipFill>
      <xdr:spPr>
        <a:xfrm>
          <a:off x="0" y="0"/>
          <a:ext cx="1797151" cy="72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320776</xdr:colOff>
      <xdr:row>4</xdr:row>
      <xdr:rowOff>1815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60F7EA5-18ED-4195-8067-2CCAE27537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13" t="12783" r="6673" b="15461"/>
        <a:stretch/>
      </xdr:blipFill>
      <xdr:spPr>
        <a:xfrm>
          <a:off x="0" y="0"/>
          <a:ext cx="1797151" cy="72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205758</xdr:colOff>
      <xdr:row>2</xdr:row>
      <xdr:rowOff>176542</xdr:rowOff>
    </xdr:from>
    <xdr:to>
      <xdr:col>7</xdr:col>
      <xdr:colOff>22454</xdr:colOff>
      <xdr:row>8</xdr:row>
      <xdr:rowOff>126497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8116E3-5F0C-4901-9AB5-312DF3862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2458" y="656602"/>
          <a:ext cx="4579196" cy="1062475"/>
        </a:xfrm>
        <a:prstGeom prst="rect">
          <a:avLst/>
        </a:prstGeom>
      </xdr:spPr>
    </xdr:pic>
    <xdr:clientData/>
  </xdr:twoCellAnchor>
  <xdr:twoCellAnchor editAs="oneCell">
    <xdr:from>
      <xdr:col>5</xdr:col>
      <xdr:colOff>639942</xdr:colOff>
      <xdr:row>16</xdr:row>
      <xdr:rowOff>160422</xdr:rowOff>
    </xdr:from>
    <xdr:to>
      <xdr:col>8</xdr:col>
      <xdr:colOff>547381</xdr:colOff>
      <xdr:row>17</xdr:row>
      <xdr:rowOff>85223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E96F7-5B5F-4E54-B266-B3C2DEF9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6082" y="3322722"/>
          <a:ext cx="2322979" cy="107681"/>
        </a:xfrm>
        <a:prstGeom prst="rect">
          <a:avLst/>
        </a:prstGeom>
      </xdr:spPr>
    </xdr:pic>
    <xdr:clientData/>
  </xdr:twoCellAnchor>
  <xdr:twoCellAnchor editAs="oneCell">
    <xdr:from>
      <xdr:col>7</xdr:col>
      <xdr:colOff>330870</xdr:colOff>
      <xdr:row>17</xdr:row>
      <xdr:rowOff>65170</xdr:rowOff>
    </xdr:from>
    <xdr:to>
      <xdr:col>8</xdr:col>
      <xdr:colOff>40223</xdr:colOff>
      <xdr:row>19</xdr:row>
      <xdr:rowOff>112322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6E976C-8533-46F8-ACA0-2B3965F9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0070" y="3410350"/>
          <a:ext cx="501833" cy="4129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24</xdr:row>
      <xdr:rowOff>28575</xdr:rowOff>
    </xdr:from>
    <xdr:to>
      <xdr:col>13</xdr:col>
      <xdr:colOff>360617</xdr:colOff>
      <xdr:row>40</xdr:row>
      <xdr:rowOff>2855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F8FE96-2F7F-4789-3B18-578F69766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3914775"/>
          <a:ext cx="10666667" cy="2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40</xdr:row>
      <xdr:rowOff>114300</xdr:rowOff>
    </xdr:from>
    <xdr:to>
      <xdr:col>10</xdr:col>
      <xdr:colOff>37051</xdr:colOff>
      <xdr:row>64</xdr:row>
      <xdr:rowOff>94767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5429AD-0C0E-12A3-A00C-FF6B0973D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6591300"/>
          <a:ext cx="8390476" cy="38666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y Celly Cano" id="{6CD5B22F-C8C7-4B3D-B8B0-8CCE08E6A1C0}" userId="S::mary.cano@softwareestrategico.com::0d3e0576-212e-44c0-b871-d8f4ad6904d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1-07-16T16:05:18.94" personId="{6CD5B22F-C8C7-4B3D-B8B0-8CCE08E6A1C0}" id="{6EDF2DDB-53E6-4005-9E95-A8EECB6500D8}">
    <text>Promedio</text>
  </threadedComment>
  <threadedComment ref="J4" dT="2021-07-16T16:06:01.02" personId="{6CD5B22F-C8C7-4B3D-B8B0-8CCE08E6A1C0}" id="{49663DF4-D10F-4B23-806D-C300FCAE0108}">
    <text>Es el promedio entre la media aritmética + Mayor Valor presentado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557C-6FF4-43C6-8EF7-B42CC8F9E644}">
  <dimension ref="A2"/>
  <sheetViews>
    <sheetView workbookViewId="0">
      <selection activeCell="A12" sqref="A12"/>
    </sheetView>
  </sheetViews>
  <sheetFormatPr baseColWidth="10" defaultRowHeight="14.5" x14ac:dyDescent="0.35"/>
  <cols>
    <col min="1" max="1" width="35.54296875" customWidth="1"/>
  </cols>
  <sheetData>
    <row r="2" spans="1:1" x14ac:dyDescent="0.35">
      <c r="A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opLeftCell="A13" zoomScale="90" zoomScaleNormal="90" workbookViewId="0">
      <selection activeCell="D26" sqref="D26:D27"/>
    </sheetView>
  </sheetViews>
  <sheetFormatPr baseColWidth="10" defaultColWidth="11.453125" defaultRowHeight="12.5" x14ac:dyDescent="0.35"/>
  <cols>
    <col min="1" max="1" width="33.54296875" style="6" customWidth="1"/>
    <col min="2" max="2" width="67.453125" style="6" customWidth="1"/>
    <col min="3" max="3" width="17.54296875" style="6" customWidth="1"/>
    <col min="4" max="4" width="21.54296875" style="6" customWidth="1"/>
    <col min="5" max="6" width="11.453125" style="6"/>
    <col min="7" max="7" width="18.54296875" style="6" bestFit="1" customWidth="1"/>
    <col min="8" max="16384" width="11.453125" style="6"/>
  </cols>
  <sheetData>
    <row r="1" spans="1:8" ht="14.25" customHeight="1" x14ac:dyDescent="0.35">
      <c r="A1" s="1"/>
    </row>
    <row r="2" spans="1:8" ht="14.25" customHeight="1" x14ac:dyDescent="0.35">
      <c r="A2" s="1"/>
      <c r="B2" s="4" t="s">
        <v>107</v>
      </c>
    </row>
    <row r="3" spans="1:8" ht="14.25" customHeight="1" x14ac:dyDescent="0.35">
      <c r="A3" s="1"/>
      <c r="B3" s="8">
        <v>44805</v>
      </c>
      <c r="G3" s="145"/>
    </row>
    <row r="4" spans="1:8" ht="14.25" customHeight="1" x14ac:dyDescent="0.3">
      <c r="A4" s="1"/>
      <c r="B4" s="1"/>
      <c r="C4" s="2"/>
      <c r="D4" s="3"/>
      <c r="E4" s="3"/>
      <c r="F4" s="4"/>
      <c r="G4" s="146"/>
      <c r="H4" s="7"/>
    </row>
    <row r="5" spans="1:8" s="9" customFormat="1" ht="3" customHeight="1" x14ac:dyDescent="0.25"/>
    <row r="6" spans="1:8" s="9" customFormat="1" ht="14" x14ac:dyDescent="0.3">
      <c r="A6" s="201" t="s">
        <v>0</v>
      </c>
      <c r="B6" s="201"/>
      <c r="G6" s="147"/>
      <c r="H6" s="6"/>
    </row>
    <row r="7" spans="1:8" s="9" customFormat="1" ht="3" customHeight="1" x14ac:dyDescent="0.25"/>
    <row r="8" spans="1:8" ht="20.149999999999999" customHeight="1" thickBot="1" x14ac:dyDescent="0.4">
      <c r="A8" s="11" t="s">
        <v>1</v>
      </c>
      <c r="B8" s="190"/>
      <c r="G8" s="147"/>
    </row>
    <row r="9" spans="1:8" ht="20.149999999999999" customHeight="1" thickBot="1" x14ac:dyDescent="0.4">
      <c r="A9" s="12" t="s">
        <v>2</v>
      </c>
      <c r="B9" s="191"/>
      <c r="G9" s="147"/>
    </row>
    <row r="10" spans="1:8" ht="20.149999999999999" customHeight="1" thickBot="1" x14ac:dyDescent="0.4">
      <c r="A10" s="12" t="s">
        <v>3</v>
      </c>
      <c r="B10" s="191"/>
      <c r="G10" s="147"/>
    </row>
    <row r="11" spans="1:8" ht="20.149999999999999" customHeight="1" thickBot="1" x14ac:dyDescent="0.4">
      <c r="A11" s="12" t="s">
        <v>4</v>
      </c>
      <c r="B11" s="191"/>
      <c r="G11" s="147"/>
    </row>
    <row r="12" spans="1:8" ht="20.149999999999999" customHeight="1" thickBot="1" x14ac:dyDescent="0.4">
      <c r="A12" s="12" t="s">
        <v>5</v>
      </c>
      <c r="B12" s="192"/>
      <c r="G12" s="147"/>
    </row>
    <row r="13" spans="1:8" ht="20.149999999999999" customHeight="1" thickBot="1" x14ac:dyDescent="0.4">
      <c r="A13" s="12" t="s">
        <v>146</v>
      </c>
      <c r="B13" s="193">
        <f>B12/1750905</f>
        <v>0</v>
      </c>
      <c r="G13" s="147"/>
    </row>
    <row r="14" spans="1:8" ht="20.149999999999999" customHeight="1" thickBot="1" x14ac:dyDescent="0.4">
      <c r="A14" s="12" t="s">
        <v>6</v>
      </c>
      <c r="B14" s="191"/>
      <c r="G14" s="147"/>
    </row>
    <row r="15" spans="1:8" ht="20.149999999999999" customHeight="1" thickBot="1" x14ac:dyDescent="0.4">
      <c r="A15" s="12" t="s">
        <v>7</v>
      </c>
      <c r="B15" s="191"/>
      <c r="G15" s="147"/>
    </row>
    <row r="16" spans="1:8" ht="20.149999999999999" customHeight="1" thickBot="1" x14ac:dyDescent="0.4">
      <c r="A16" s="12" t="s">
        <v>8</v>
      </c>
      <c r="B16" s="191"/>
      <c r="G16" s="147"/>
    </row>
    <row r="17" spans="1:7" ht="20.149999999999999" customHeight="1" thickBot="1" x14ac:dyDescent="0.4">
      <c r="A17" s="12" t="s">
        <v>9</v>
      </c>
      <c r="B17" s="191"/>
      <c r="G17" s="147"/>
    </row>
    <row r="18" spans="1:7" ht="45" customHeight="1" thickBot="1" x14ac:dyDescent="0.4">
      <c r="A18" s="12" t="s">
        <v>10</v>
      </c>
      <c r="B18" s="191"/>
    </row>
    <row r="19" spans="1:7" ht="15" customHeight="1" x14ac:dyDescent="0.35">
      <c r="A19" s="202" t="s">
        <v>11</v>
      </c>
      <c r="B19" s="166" t="s">
        <v>137</v>
      </c>
      <c r="C19" s="167" t="s">
        <v>140</v>
      </c>
      <c r="D19" s="167" t="s">
        <v>141</v>
      </c>
    </row>
    <row r="20" spans="1:7" ht="15" customHeight="1" x14ac:dyDescent="0.35">
      <c r="A20" s="203"/>
      <c r="B20" s="170" t="s">
        <v>52</v>
      </c>
      <c r="C20" s="187">
        <f>IndicadoresSG!C18</f>
        <v>2.04</v>
      </c>
      <c r="D20" s="194"/>
      <c r="E20" s="6" t="s">
        <v>142</v>
      </c>
      <c r="F20" s="6">
        <v>2.04</v>
      </c>
    </row>
    <row r="21" spans="1:7" ht="15" customHeight="1" x14ac:dyDescent="0.35">
      <c r="A21" s="203"/>
      <c r="B21" s="170" t="s">
        <v>54</v>
      </c>
      <c r="C21" s="187">
        <f>IndicadoresSG!C19</f>
        <v>0.3</v>
      </c>
      <c r="D21" s="194"/>
      <c r="E21" s="6" t="s">
        <v>143</v>
      </c>
      <c r="F21" s="6">
        <v>0.3</v>
      </c>
    </row>
    <row r="22" spans="1:7" ht="15" customHeight="1" x14ac:dyDescent="0.35">
      <c r="A22" s="203"/>
      <c r="B22" s="170" t="s">
        <v>138</v>
      </c>
      <c r="C22" s="168">
        <f>IndicadoresSG!C20</f>
        <v>2037.98</v>
      </c>
      <c r="D22" s="194"/>
      <c r="E22" s="6" t="s">
        <v>142</v>
      </c>
      <c r="F22" s="6">
        <v>2037.98</v>
      </c>
    </row>
    <row r="23" spans="1:7" ht="15" customHeight="1" x14ac:dyDescent="0.35">
      <c r="A23" s="203"/>
      <c r="B23" s="170" t="s">
        <v>53</v>
      </c>
      <c r="C23" s="174">
        <f>IndicadoresSG!C21</f>
        <v>3278055000</v>
      </c>
      <c r="D23" s="195"/>
      <c r="E23" s="6" t="s">
        <v>142</v>
      </c>
    </row>
    <row r="24" spans="1:7" ht="15" customHeight="1" x14ac:dyDescent="0.35">
      <c r="A24" s="203"/>
      <c r="B24" s="170" t="s">
        <v>148</v>
      </c>
      <c r="C24" s="174">
        <v>7137635000</v>
      </c>
      <c r="D24" s="195"/>
    </row>
    <row r="25" spans="1:7" ht="15" customHeight="1" x14ac:dyDescent="0.35">
      <c r="A25" s="203"/>
      <c r="B25" s="171" t="s">
        <v>139</v>
      </c>
      <c r="C25" s="169" t="s">
        <v>140</v>
      </c>
      <c r="D25" s="169"/>
    </row>
    <row r="26" spans="1:7" ht="15" customHeight="1" x14ac:dyDescent="0.35">
      <c r="A26" s="203"/>
      <c r="B26" s="170" t="s">
        <v>135</v>
      </c>
      <c r="C26" s="168">
        <f>IndicadoresSG!C23</f>
        <v>7.0000000000000007E-2</v>
      </c>
      <c r="D26" s="196"/>
      <c r="E26" s="6" t="s">
        <v>142</v>
      </c>
      <c r="F26" s="6">
        <v>7.0000000000000007E-2</v>
      </c>
    </row>
    <row r="27" spans="1:7" ht="15" customHeight="1" thickBot="1" x14ac:dyDescent="0.4">
      <c r="A27" s="203"/>
      <c r="B27" s="170" t="s">
        <v>136</v>
      </c>
      <c r="C27" s="168">
        <f>IndicadoresSG!C24</f>
        <v>0.05</v>
      </c>
      <c r="D27" s="196"/>
      <c r="E27" s="6" t="s">
        <v>142</v>
      </c>
      <c r="F27" s="6">
        <v>0.05</v>
      </c>
    </row>
    <row r="28" spans="1:7" ht="20.149999999999999" customHeight="1" thickBot="1" x14ac:dyDescent="0.4">
      <c r="A28" s="12" t="s">
        <v>145</v>
      </c>
      <c r="B28" s="13"/>
      <c r="G28" s="147"/>
    </row>
    <row r="33" spans="2:2" x14ac:dyDescent="0.35">
      <c r="B33" s="188"/>
    </row>
  </sheetData>
  <mergeCells count="2">
    <mergeCell ref="A6:B6"/>
    <mergeCell ref="A19:A27"/>
  </mergeCells>
  <conditionalFormatting sqref="C21">
    <cfRule type="cellIs" dxfId="49" priority="25" operator="greaterThan">
      <formula>0.52</formula>
    </cfRule>
  </conditionalFormatting>
  <conditionalFormatting sqref="D20">
    <cfRule type="cellIs" dxfId="48" priority="7" operator="equal">
      <formula>$C$20</formula>
    </cfRule>
    <cfRule type="cellIs" dxfId="47" priority="8" operator="lessThan">
      <formula>$C$20</formula>
    </cfRule>
    <cfRule type="cellIs" dxfId="46" priority="9" operator="greaterThan">
      <formula>$C$20</formula>
    </cfRule>
  </conditionalFormatting>
  <conditionalFormatting sqref="D20:D22">
    <cfRule type="cellIs" dxfId="45" priority="6" operator="equal">
      <formula>0</formula>
    </cfRule>
  </conditionalFormatting>
  <conditionalFormatting sqref="D21">
    <cfRule type="cellIs" dxfId="44" priority="10" operator="equal">
      <formula>$C$21</formula>
    </cfRule>
    <cfRule type="cellIs" dxfId="43" priority="11" operator="greaterThan">
      <formula>$C$21</formula>
    </cfRule>
    <cfRule type="cellIs" dxfId="42" priority="30" operator="lessThan">
      <formula>$C$21</formula>
    </cfRule>
  </conditionalFormatting>
  <conditionalFormatting sqref="D22">
    <cfRule type="cellIs" dxfId="41" priority="12" operator="greaterThan">
      <formula>$C$22</formula>
    </cfRule>
    <cfRule type="cellIs" dxfId="40" priority="28" operator="equal">
      <formula>$C$22</formula>
    </cfRule>
    <cfRule type="cellIs" dxfId="39" priority="29" operator="lessThan">
      <formula>$C$22</formula>
    </cfRule>
  </conditionalFormatting>
  <conditionalFormatting sqref="D23:D24">
    <cfRule type="cellIs" dxfId="38" priority="14" operator="equal">
      <formula>0</formula>
    </cfRule>
    <cfRule type="cellIs" dxfId="37" priority="18" operator="greaterThan">
      <formula>$C$23</formula>
    </cfRule>
    <cfRule type="cellIs" dxfId="36" priority="19" operator="lessThan">
      <formula>$C$23</formula>
    </cfRule>
    <cfRule type="cellIs" dxfId="35" priority="20" operator="equal">
      <formula>$C$23</formula>
    </cfRule>
  </conditionalFormatting>
  <conditionalFormatting sqref="D26">
    <cfRule type="cellIs" dxfId="34" priority="2" operator="equal">
      <formula>$C$26</formula>
    </cfRule>
    <cfRule type="cellIs" dxfId="33" priority="3" operator="lessThan">
      <formula>$C$26</formula>
    </cfRule>
    <cfRule type="cellIs" dxfId="32" priority="5" operator="greaterThan">
      <formula>$C$26</formula>
    </cfRule>
  </conditionalFormatting>
  <conditionalFormatting sqref="D26:D27">
    <cfRule type="cellIs" dxfId="31" priority="1" operator="equal">
      <formula>0</formula>
    </cfRule>
  </conditionalFormatting>
  <conditionalFormatting sqref="D27">
    <cfRule type="cellIs" dxfId="30" priority="15" operator="greaterThan">
      <formula>$C$27</formula>
    </cfRule>
    <cfRule type="cellIs" dxfId="29" priority="16" operator="lessThan">
      <formula>$C$27</formula>
    </cfRule>
    <cfRule type="cellIs" dxfId="28" priority="17" operator="equal">
      <formula>$C$27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D210-50EE-4416-AB73-13BD504CABAD}">
  <dimension ref="A1:H106"/>
  <sheetViews>
    <sheetView showGridLines="0" topLeftCell="B3" zoomScaleNormal="100" workbookViewId="0">
      <selection activeCell="B14" sqref="B14"/>
    </sheetView>
  </sheetViews>
  <sheetFormatPr baseColWidth="10" defaultColWidth="11.453125" defaultRowHeight="12.5" x14ac:dyDescent="0.35"/>
  <cols>
    <col min="1" max="1" width="22.453125" style="14" customWidth="1"/>
    <col min="2" max="2" width="68" style="10" customWidth="1"/>
    <col min="3" max="5" width="15.54296875" style="14" customWidth="1"/>
    <col min="6" max="6" width="58.54296875" style="6" customWidth="1"/>
    <col min="7" max="16384" width="11.453125" style="6"/>
  </cols>
  <sheetData>
    <row r="1" spans="1:8" ht="14.25" customHeight="1" x14ac:dyDescent="0.35">
      <c r="A1" s="20"/>
      <c r="B1" s="6"/>
      <c r="C1" s="6"/>
      <c r="D1" s="6"/>
      <c r="E1" s="6"/>
    </row>
    <row r="2" spans="1:8" ht="14.25" customHeight="1" x14ac:dyDescent="0.35">
      <c r="A2" s="20"/>
      <c r="B2" s="6"/>
      <c r="C2" s="6"/>
      <c r="D2" s="6"/>
      <c r="E2" s="6"/>
      <c r="F2" s="4" t="s">
        <v>107</v>
      </c>
    </row>
    <row r="3" spans="1:8" ht="14.25" customHeight="1" x14ac:dyDescent="0.35">
      <c r="A3" s="20"/>
      <c r="B3" s="6"/>
      <c r="C3" s="6"/>
      <c r="D3" s="6"/>
      <c r="E3" s="6"/>
      <c r="F3" s="8">
        <v>44805</v>
      </c>
    </row>
    <row r="4" spans="1:8" ht="14.25" customHeight="1" x14ac:dyDescent="0.35">
      <c r="A4" s="20"/>
      <c r="B4" s="1"/>
      <c r="C4" s="2"/>
      <c r="D4" s="3"/>
      <c r="E4" s="3"/>
      <c r="F4" s="4"/>
      <c r="G4" s="5"/>
      <c r="H4" s="7"/>
    </row>
    <row r="5" spans="1:8" ht="3" customHeight="1" x14ac:dyDescent="0.35">
      <c r="A5" s="197" t="s">
        <v>0</v>
      </c>
      <c r="B5" s="197"/>
      <c r="C5" s="197"/>
      <c r="D5" s="197"/>
      <c r="E5" s="197"/>
      <c r="F5" s="197"/>
    </row>
    <row r="6" spans="1:8" x14ac:dyDescent="0.35">
      <c r="A6" s="197"/>
      <c r="B6" s="197"/>
      <c r="C6" s="197"/>
      <c r="D6" s="197"/>
      <c r="E6" s="197"/>
      <c r="F6" s="197"/>
    </row>
    <row r="7" spans="1:8" ht="3" customHeight="1" x14ac:dyDescent="0.35">
      <c r="B7" s="15"/>
    </row>
    <row r="8" spans="1:8" ht="15" customHeight="1" x14ac:dyDescent="0.35">
      <c r="C8" s="27" t="s">
        <v>12</v>
      </c>
      <c r="D8" s="26" t="s">
        <v>13</v>
      </c>
      <c r="E8" s="18" t="s">
        <v>14</v>
      </c>
    </row>
    <row r="9" spans="1:8" x14ac:dyDescent="0.35">
      <c r="C9" s="16">
        <f>COUNTIF(E13:E106,"*")</f>
        <v>0</v>
      </c>
      <c r="D9" s="16">
        <f>COUNTIF(E13:E106,"Cerrada")</f>
        <v>0</v>
      </c>
      <c r="E9" s="17" t="e">
        <f>D9/C9*100</f>
        <v>#DIV/0!</v>
      </c>
    </row>
    <row r="10" spans="1:8" ht="3" customHeight="1" x14ac:dyDescent="0.35">
      <c r="C10" s="6"/>
      <c r="E10" s="6"/>
    </row>
    <row r="11" spans="1:8" ht="18" customHeight="1" x14ac:dyDescent="0.35">
      <c r="A11" s="200" t="s">
        <v>15</v>
      </c>
      <c r="B11" s="200"/>
      <c r="C11" s="200"/>
      <c r="D11" s="200"/>
      <c r="E11" s="200"/>
      <c r="F11" s="200"/>
    </row>
    <row r="12" spans="1:8" s="14" customFormat="1" ht="24.75" customHeight="1" x14ac:dyDescent="0.35">
      <c r="A12" s="23" t="s">
        <v>16</v>
      </c>
      <c r="B12" s="24" t="s">
        <v>17</v>
      </c>
      <c r="C12" s="198" t="s">
        <v>108</v>
      </c>
      <c r="D12" s="199"/>
      <c r="E12" s="24" t="s">
        <v>18</v>
      </c>
      <c r="F12" s="25" t="s">
        <v>19</v>
      </c>
    </row>
    <row r="13" spans="1:8" s="14" customFormat="1" x14ac:dyDescent="0.35">
      <c r="A13" s="148"/>
      <c r="B13" s="189"/>
      <c r="C13" s="22"/>
      <c r="D13" s="22"/>
      <c r="E13" s="22"/>
      <c r="F13" s="149"/>
    </row>
    <row r="14" spans="1:8" s="14" customFormat="1" x14ac:dyDescent="0.35">
      <c r="A14" s="21"/>
      <c r="B14" s="151"/>
      <c r="C14" s="19"/>
      <c r="D14" s="19"/>
      <c r="E14" s="19"/>
      <c r="F14" s="16"/>
    </row>
    <row r="15" spans="1:8" s="14" customFormat="1" x14ac:dyDescent="0.35">
      <c r="A15" s="21"/>
      <c r="B15" s="151"/>
      <c r="C15" s="19"/>
      <c r="D15" s="19"/>
      <c r="E15" s="19"/>
      <c r="F15" s="16"/>
    </row>
    <row r="16" spans="1:8" s="14" customFormat="1" x14ac:dyDescent="0.35">
      <c r="A16" s="150"/>
      <c r="B16" s="151"/>
      <c r="C16" s="19"/>
      <c r="D16" s="19"/>
      <c r="E16" s="19"/>
      <c r="F16" s="16"/>
    </row>
    <row r="17" spans="1:6" s="14" customFormat="1" x14ac:dyDescent="0.35">
      <c r="A17" s="150"/>
      <c r="B17" s="151"/>
      <c r="C17" s="19"/>
      <c r="D17" s="19"/>
      <c r="E17" s="19"/>
      <c r="F17" s="16"/>
    </row>
    <row r="18" spans="1:6" s="14" customFormat="1" x14ac:dyDescent="0.35">
      <c r="A18" s="150"/>
      <c r="B18" s="151"/>
      <c r="C18" s="19"/>
      <c r="D18" s="19"/>
      <c r="E18" s="19"/>
      <c r="F18" s="16"/>
    </row>
    <row r="19" spans="1:6" s="14" customFormat="1" x14ac:dyDescent="0.35">
      <c r="A19" s="150"/>
      <c r="B19" s="151"/>
      <c r="C19" s="19"/>
      <c r="D19" s="19"/>
      <c r="E19" s="19"/>
      <c r="F19" s="16"/>
    </row>
    <row r="20" spans="1:6" s="14" customFormat="1" x14ac:dyDescent="0.35">
      <c r="A20" s="150"/>
      <c r="B20" s="151"/>
      <c r="C20" s="19"/>
      <c r="D20" s="19"/>
      <c r="E20" s="19"/>
      <c r="F20" s="16"/>
    </row>
    <row r="21" spans="1:6" s="14" customFormat="1" x14ac:dyDescent="0.35">
      <c r="A21" s="150"/>
      <c r="B21" s="151"/>
      <c r="C21" s="19"/>
      <c r="D21" s="19"/>
      <c r="E21" s="19"/>
      <c r="F21" s="16"/>
    </row>
    <row r="22" spans="1:6" s="14" customFormat="1" x14ac:dyDescent="0.35">
      <c r="A22" s="150"/>
      <c r="B22" s="151"/>
      <c r="C22" s="19"/>
      <c r="D22" s="19"/>
      <c r="E22" s="19"/>
      <c r="F22" s="16"/>
    </row>
    <row r="23" spans="1:6" s="14" customFormat="1" x14ac:dyDescent="0.35">
      <c r="A23" s="150"/>
      <c r="B23" s="151"/>
      <c r="C23" s="19"/>
      <c r="D23" s="19"/>
      <c r="E23" s="19"/>
      <c r="F23" s="16"/>
    </row>
    <row r="24" spans="1:6" s="14" customFormat="1" x14ac:dyDescent="0.35">
      <c r="A24" s="150"/>
      <c r="B24" s="151"/>
      <c r="C24" s="19"/>
      <c r="D24" s="19"/>
      <c r="E24" s="19"/>
      <c r="F24" s="16"/>
    </row>
    <row r="25" spans="1:6" s="14" customFormat="1" x14ac:dyDescent="0.35">
      <c r="A25" s="150"/>
      <c r="B25" s="151"/>
      <c r="C25" s="19"/>
      <c r="D25" s="19"/>
      <c r="E25" s="19"/>
      <c r="F25" s="16"/>
    </row>
    <row r="26" spans="1:6" s="14" customFormat="1" x14ac:dyDescent="0.35">
      <c r="A26" s="150"/>
      <c r="B26" s="151"/>
      <c r="C26" s="19"/>
      <c r="D26" s="19"/>
      <c r="E26" s="19"/>
      <c r="F26" s="16"/>
    </row>
    <row r="27" spans="1:6" s="14" customFormat="1" x14ac:dyDescent="0.35">
      <c r="A27" s="150"/>
      <c r="B27" s="151"/>
      <c r="C27" s="19"/>
      <c r="D27" s="19"/>
      <c r="E27" s="19"/>
      <c r="F27" s="16"/>
    </row>
    <row r="28" spans="1:6" s="14" customFormat="1" x14ac:dyDescent="0.35">
      <c r="A28" s="150"/>
      <c r="B28" s="151"/>
      <c r="C28" s="19"/>
      <c r="D28" s="19"/>
      <c r="E28" s="19"/>
      <c r="F28" s="16"/>
    </row>
    <row r="29" spans="1:6" s="14" customFormat="1" x14ac:dyDescent="0.35">
      <c r="A29" s="150"/>
      <c r="B29" s="151"/>
      <c r="C29" s="19"/>
      <c r="D29" s="19"/>
      <c r="E29" s="19"/>
      <c r="F29" s="16"/>
    </row>
    <row r="30" spans="1:6" s="14" customFormat="1" x14ac:dyDescent="0.35">
      <c r="A30" s="150"/>
      <c r="B30" s="151"/>
      <c r="C30" s="19"/>
      <c r="D30" s="19"/>
      <c r="E30" s="19"/>
      <c r="F30" s="16"/>
    </row>
    <row r="31" spans="1:6" s="14" customFormat="1" x14ac:dyDescent="0.35">
      <c r="A31" s="150"/>
      <c r="B31" s="151"/>
      <c r="C31" s="19"/>
      <c r="D31" s="19"/>
      <c r="E31" s="19"/>
      <c r="F31" s="16"/>
    </row>
    <row r="32" spans="1:6" s="14" customFormat="1" x14ac:dyDescent="0.35">
      <c r="A32" s="150"/>
      <c r="B32" s="151"/>
      <c r="C32" s="19"/>
      <c r="D32" s="19"/>
      <c r="E32" s="19"/>
      <c r="F32" s="16"/>
    </row>
    <row r="33" spans="1:6" s="14" customFormat="1" x14ac:dyDescent="0.35">
      <c r="A33" s="150"/>
      <c r="B33" s="151"/>
      <c r="C33" s="19"/>
      <c r="D33" s="19"/>
      <c r="E33" s="19"/>
      <c r="F33" s="16"/>
    </row>
    <row r="34" spans="1:6" s="14" customFormat="1" x14ac:dyDescent="0.35">
      <c r="A34" s="150"/>
      <c r="B34" s="151"/>
      <c r="C34" s="19"/>
      <c r="D34" s="19"/>
      <c r="E34" s="19"/>
      <c r="F34" s="16"/>
    </row>
    <row r="35" spans="1:6" s="14" customFormat="1" x14ac:dyDescent="0.35">
      <c r="A35" s="150"/>
      <c r="B35" s="151"/>
      <c r="C35" s="19"/>
      <c r="D35" s="19"/>
      <c r="E35" s="19"/>
      <c r="F35" s="16"/>
    </row>
    <row r="36" spans="1:6" s="14" customFormat="1" x14ac:dyDescent="0.35">
      <c r="A36" s="150"/>
      <c r="B36" s="151"/>
      <c r="C36" s="19"/>
      <c r="D36" s="19"/>
      <c r="E36" s="19"/>
      <c r="F36" s="16"/>
    </row>
    <row r="37" spans="1:6" s="14" customFormat="1" x14ac:dyDescent="0.35">
      <c r="A37" s="150"/>
      <c r="B37" s="151"/>
      <c r="C37" s="19"/>
      <c r="D37" s="19"/>
      <c r="E37" s="19"/>
      <c r="F37" s="16"/>
    </row>
    <row r="38" spans="1:6" s="14" customFormat="1" x14ac:dyDescent="0.35">
      <c r="A38" s="150"/>
      <c r="B38" s="151"/>
      <c r="C38" s="19"/>
      <c r="D38" s="19"/>
      <c r="E38" s="19"/>
      <c r="F38" s="16"/>
    </row>
    <row r="39" spans="1:6" s="14" customFormat="1" x14ac:dyDescent="0.35">
      <c r="A39" s="150"/>
      <c r="B39" s="151"/>
      <c r="C39" s="19"/>
      <c r="D39" s="19"/>
      <c r="E39" s="19"/>
      <c r="F39" s="16"/>
    </row>
    <row r="40" spans="1:6" s="14" customFormat="1" x14ac:dyDescent="0.35">
      <c r="A40" s="150"/>
      <c r="B40" s="151"/>
      <c r="C40" s="19"/>
      <c r="D40" s="19"/>
      <c r="E40" s="19"/>
      <c r="F40" s="16"/>
    </row>
    <row r="41" spans="1:6" s="14" customFormat="1" x14ac:dyDescent="0.35">
      <c r="A41" s="150"/>
      <c r="B41" s="151"/>
      <c r="C41" s="19"/>
      <c r="D41" s="19"/>
      <c r="E41" s="19"/>
      <c r="F41" s="16"/>
    </row>
    <row r="42" spans="1:6" s="14" customFormat="1" x14ac:dyDescent="0.35">
      <c r="A42" s="150"/>
      <c r="B42" s="151"/>
      <c r="C42" s="19"/>
      <c r="D42" s="19"/>
      <c r="E42" s="19"/>
      <c r="F42" s="16"/>
    </row>
    <row r="43" spans="1:6" s="14" customFormat="1" x14ac:dyDescent="0.35">
      <c r="A43" s="150"/>
      <c r="B43" s="151"/>
      <c r="C43" s="19"/>
      <c r="D43" s="19"/>
      <c r="E43" s="19"/>
      <c r="F43" s="16"/>
    </row>
    <row r="44" spans="1:6" s="14" customFormat="1" x14ac:dyDescent="0.35">
      <c r="A44" s="150"/>
      <c r="B44" s="151"/>
      <c r="C44" s="19"/>
      <c r="D44" s="19"/>
      <c r="E44" s="19"/>
      <c r="F44" s="16"/>
    </row>
    <row r="45" spans="1:6" s="14" customFormat="1" x14ac:dyDescent="0.35">
      <c r="A45" s="150"/>
      <c r="B45" s="151"/>
      <c r="C45" s="19"/>
      <c r="D45" s="19"/>
      <c r="E45" s="19"/>
      <c r="F45" s="16"/>
    </row>
    <row r="46" spans="1:6" s="14" customFormat="1" x14ac:dyDescent="0.35">
      <c r="A46" s="150"/>
      <c r="B46" s="151"/>
      <c r="C46" s="19"/>
      <c r="D46" s="19"/>
      <c r="E46" s="19"/>
      <c r="F46" s="16"/>
    </row>
    <row r="47" spans="1:6" s="14" customFormat="1" x14ac:dyDescent="0.35">
      <c r="A47" s="150"/>
      <c r="B47" s="151"/>
      <c r="C47" s="19"/>
      <c r="D47" s="19"/>
      <c r="E47" s="19"/>
      <c r="F47" s="16"/>
    </row>
    <row r="48" spans="1:6" s="14" customFormat="1" x14ac:dyDescent="0.35">
      <c r="A48" s="150"/>
      <c r="B48" s="151"/>
      <c r="C48" s="19"/>
      <c r="D48" s="19"/>
      <c r="E48" s="19"/>
      <c r="F48" s="16"/>
    </row>
    <row r="49" spans="1:6" s="14" customFormat="1" x14ac:dyDescent="0.35">
      <c r="A49" s="150"/>
      <c r="B49" s="151"/>
      <c r="C49" s="19"/>
      <c r="D49" s="19"/>
      <c r="E49" s="19"/>
      <c r="F49" s="16"/>
    </row>
    <row r="50" spans="1:6" s="14" customFormat="1" x14ac:dyDescent="0.35">
      <c r="A50" s="150"/>
      <c r="B50" s="151"/>
      <c r="C50" s="19"/>
      <c r="D50" s="19"/>
      <c r="E50" s="19"/>
      <c r="F50" s="16"/>
    </row>
    <row r="51" spans="1:6" s="14" customFormat="1" x14ac:dyDescent="0.35">
      <c r="A51" s="150"/>
      <c r="B51" s="151"/>
      <c r="C51" s="19"/>
      <c r="D51" s="19"/>
      <c r="E51" s="19"/>
      <c r="F51" s="16"/>
    </row>
    <row r="52" spans="1:6" s="14" customFormat="1" x14ac:dyDescent="0.35">
      <c r="A52" s="150"/>
      <c r="B52" s="151"/>
      <c r="C52" s="19"/>
      <c r="D52" s="19"/>
      <c r="E52" s="19"/>
      <c r="F52" s="16"/>
    </row>
    <row r="53" spans="1:6" s="14" customFormat="1" x14ac:dyDescent="0.35">
      <c r="A53" s="150"/>
      <c r="B53" s="151"/>
      <c r="C53" s="19"/>
      <c r="D53" s="19"/>
      <c r="E53" s="19"/>
      <c r="F53" s="16"/>
    </row>
    <row r="54" spans="1:6" s="14" customFormat="1" x14ac:dyDescent="0.35">
      <c r="A54" s="150"/>
      <c r="B54" s="151"/>
      <c r="C54" s="19"/>
      <c r="D54" s="19"/>
      <c r="E54" s="19"/>
      <c r="F54" s="16"/>
    </row>
    <row r="55" spans="1:6" s="14" customFormat="1" x14ac:dyDescent="0.35">
      <c r="A55" s="150"/>
      <c r="B55" s="151"/>
      <c r="C55" s="19"/>
      <c r="D55" s="19"/>
      <c r="E55" s="19"/>
      <c r="F55" s="16"/>
    </row>
    <row r="56" spans="1:6" s="14" customFormat="1" x14ac:dyDescent="0.35">
      <c r="A56" s="150"/>
      <c r="B56" s="151"/>
      <c r="C56" s="19"/>
      <c r="D56" s="19"/>
      <c r="E56" s="19"/>
      <c r="F56" s="16"/>
    </row>
    <row r="57" spans="1:6" s="14" customFormat="1" x14ac:dyDescent="0.35">
      <c r="A57" s="150"/>
      <c r="B57" s="151"/>
      <c r="C57" s="19"/>
      <c r="D57" s="19"/>
      <c r="E57" s="19"/>
      <c r="F57" s="16"/>
    </row>
    <row r="58" spans="1:6" s="14" customFormat="1" x14ac:dyDescent="0.35">
      <c r="A58" s="150"/>
      <c r="B58" s="151"/>
      <c r="C58" s="19"/>
      <c r="D58" s="19"/>
      <c r="E58" s="19"/>
      <c r="F58" s="16"/>
    </row>
    <row r="59" spans="1:6" s="14" customFormat="1" x14ac:dyDescent="0.35">
      <c r="A59" s="150"/>
      <c r="B59" s="151"/>
      <c r="C59" s="19"/>
      <c r="D59" s="19"/>
      <c r="E59" s="19"/>
      <c r="F59" s="16"/>
    </row>
    <row r="60" spans="1:6" s="14" customFormat="1" x14ac:dyDescent="0.35">
      <c r="A60" s="150"/>
      <c r="B60" s="151"/>
      <c r="C60" s="19"/>
      <c r="D60" s="19"/>
      <c r="E60" s="19"/>
      <c r="F60" s="16"/>
    </row>
    <row r="61" spans="1:6" s="14" customFormat="1" x14ac:dyDescent="0.35">
      <c r="A61" s="150"/>
      <c r="B61" s="151"/>
      <c r="C61" s="19"/>
      <c r="D61" s="19"/>
      <c r="E61" s="19"/>
      <c r="F61" s="16"/>
    </row>
    <row r="62" spans="1:6" s="14" customFormat="1" x14ac:dyDescent="0.35">
      <c r="A62" s="150"/>
      <c r="B62" s="151"/>
      <c r="C62" s="19"/>
      <c r="D62" s="19"/>
      <c r="E62" s="19"/>
      <c r="F62" s="16"/>
    </row>
    <row r="63" spans="1:6" s="14" customFormat="1" x14ac:dyDescent="0.35">
      <c r="A63" s="150"/>
      <c r="B63" s="151"/>
      <c r="C63" s="19"/>
      <c r="D63" s="19"/>
      <c r="E63" s="19"/>
      <c r="F63" s="16"/>
    </row>
    <row r="64" spans="1:6" s="14" customFormat="1" x14ac:dyDescent="0.35">
      <c r="A64" s="150"/>
      <c r="B64" s="151"/>
      <c r="C64" s="19"/>
      <c r="D64" s="19"/>
      <c r="E64" s="19"/>
      <c r="F64" s="16"/>
    </row>
    <row r="65" spans="1:6" s="14" customFormat="1" x14ac:dyDescent="0.35">
      <c r="A65" s="150"/>
      <c r="B65" s="151"/>
      <c r="C65" s="19"/>
      <c r="D65" s="19"/>
      <c r="E65" s="19"/>
      <c r="F65" s="16"/>
    </row>
    <row r="66" spans="1:6" s="14" customFormat="1" x14ac:dyDescent="0.35">
      <c r="A66" s="150"/>
      <c r="B66" s="151"/>
      <c r="C66" s="19"/>
      <c r="D66" s="19"/>
      <c r="E66" s="19"/>
      <c r="F66" s="16"/>
    </row>
    <row r="67" spans="1:6" s="14" customFormat="1" x14ac:dyDescent="0.35">
      <c r="A67" s="150"/>
      <c r="B67" s="151"/>
      <c r="C67" s="19"/>
      <c r="D67" s="19"/>
      <c r="E67" s="19"/>
      <c r="F67" s="16"/>
    </row>
    <row r="68" spans="1:6" s="14" customFormat="1" x14ac:dyDescent="0.35">
      <c r="A68" s="150"/>
      <c r="B68" s="151"/>
      <c r="C68" s="19"/>
      <c r="D68" s="19"/>
      <c r="E68" s="19"/>
      <c r="F68" s="16"/>
    </row>
    <row r="69" spans="1:6" s="14" customFormat="1" x14ac:dyDescent="0.35">
      <c r="A69" s="150"/>
      <c r="B69" s="151"/>
      <c r="C69" s="19"/>
      <c r="D69" s="19"/>
      <c r="E69" s="19"/>
      <c r="F69" s="16"/>
    </row>
    <row r="70" spans="1:6" s="14" customFormat="1" x14ac:dyDescent="0.35">
      <c r="A70" s="150"/>
      <c r="B70" s="151"/>
      <c r="C70" s="19"/>
      <c r="D70" s="19"/>
      <c r="E70" s="19"/>
      <c r="F70" s="16"/>
    </row>
    <row r="71" spans="1:6" s="14" customFormat="1" x14ac:dyDescent="0.35">
      <c r="A71" s="150"/>
      <c r="B71" s="151"/>
      <c r="C71" s="19"/>
      <c r="D71" s="19"/>
      <c r="E71" s="19"/>
      <c r="F71" s="16"/>
    </row>
    <row r="72" spans="1:6" s="14" customFormat="1" x14ac:dyDescent="0.35">
      <c r="A72" s="150"/>
      <c r="B72" s="151"/>
      <c r="C72" s="19"/>
      <c r="D72" s="19"/>
      <c r="E72" s="19"/>
      <c r="F72" s="16"/>
    </row>
    <row r="73" spans="1:6" s="14" customFormat="1" x14ac:dyDescent="0.35">
      <c r="A73" s="150"/>
      <c r="B73" s="151"/>
      <c r="C73" s="19"/>
      <c r="D73" s="19"/>
      <c r="E73" s="19"/>
      <c r="F73" s="16"/>
    </row>
    <row r="74" spans="1:6" x14ac:dyDescent="0.35">
      <c r="A74" s="21"/>
      <c r="B74" s="151"/>
      <c r="C74" s="19"/>
      <c r="D74" s="19"/>
      <c r="E74" s="19"/>
      <c r="F74" s="19"/>
    </row>
    <row r="75" spans="1:6" x14ac:dyDescent="0.35">
      <c r="A75" s="21"/>
      <c r="B75" s="151"/>
      <c r="C75" s="19"/>
      <c r="D75" s="19"/>
      <c r="E75" s="19"/>
      <c r="F75" s="19"/>
    </row>
    <row r="76" spans="1:6" x14ac:dyDescent="0.35">
      <c r="A76" s="150"/>
      <c r="B76" s="151"/>
      <c r="C76" s="19"/>
      <c r="D76" s="19"/>
      <c r="E76" s="19"/>
      <c r="F76" s="19"/>
    </row>
    <row r="77" spans="1:6" x14ac:dyDescent="0.35">
      <c r="A77" s="21"/>
      <c r="B77" s="151"/>
      <c r="D77" s="19"/>
      <c r="E77" s="19"/>
      <c r="F77" s="19"/>
    </row>
    <row r="78" spans="1:6" x14ac:dyDescent="0.35">
      <c r="A78" s="21"/>
      <c r="B78" s="151"/>
      <c r="C78" s="19"/>
      <c r="D78" s="19"/>
      <c r="E78" s="19"/>
      <c r="F78" s="19"/>
    </row>
    <row r="79" spans="1:6" x14ac:dyDescent="0.35">
      <c r="A79" s="148"/>
      <c r="B79" s="151"/>
      <c r="C79" s="19"/>
      <c r="D79" s="19"/>
      <c r="E79" s="19"/>
      <c r="F79" s="19"/>
    </row>
    <row r="80" spans="1:6" x14ac:dyDescent="0.35">
      <c r="A80" s="21"/>
      <c r="B80" s="151"/>
      <c r="C80" s="19"/>
      <c r="D80" s="19"/>
      <c r="E80" s="19"/>
      <c r="F80" s="19"/>
    </row>
    <row r="81" spans="1:6" x14ac:dyDescent="0.35">
      <c r="A81" s="21"/>
      <c r="B81" s="151"/>
      <c r="C81" s="19"/>
      <c r="D81" s="19"/>
      <c r="E81" s="19"/>
      <c r="F81" s="19"/>
    </row>
    <row r="82" spans="1:6" x14ac:dyDescent="0.35">
      <c r="A82" s="150"/>
      <c r="B82" s="151"/>
      <c r="C82" s="19"/>
      <c r="D82" s="19"/>
      <c r="E82" s="19"/>
      <c r="F82" s="19"/>
    </row>
    <row r="83" spans="1:6" x14ac:dyDescent="0.35">
      <c r="A83" s="21"/>
      <c r="B83" s="151"/>
      <c r="C83" s="19"/>
      <c r="D83" s="19"/>
      <c r="E83" s="19"/>
      <c r="F83" s="19"/>
    </row>
    <row r="84" spans="1:6" x14ac:dyDescent="0.35">
      <c r="A84" s="21"/>
      <c r="B84" s="151"/>
      <c r="C84" s="19"/>
      <c r="D84" s="19"/>
      <c r="E84" s="19"/>
      <c r="F84" s="19"/>
    </row>
    <row r="85" spans="1:6" x14ac:dyDescent="0.35">
      <c r="A85" s="150"/>
      <c r="B85" s="151"/>
      <c r="C85" s="19"/>
      <c r="D85" s="19"/>
      <c r="E85" s="19"/>
      <c r="F85" s="19"/>
    </row>
    <row r="86" spans="1:6" x14ac:dyDescent="0.35">
      <c r="A86" s="16"/>
      <c r="B86" s="151"/>
      <c r="C86" s="19"/>
      <c r="D86" s="19"/>
      <c r="E86" s="19"/>
      <c r="F86" s="19"/>
    </row>
    <row r="87" spans="1:6" x14ac:dyDescent="0.35">
      <c r="A87" s="21"/>
      <c r="B87" s="151"/>
      <c r="C87" s="19"/>
      <c r="D87" s="19"/>
      <c r="E87" s="19"/>
      <c r="F87" s="19"/>
    </row>
    <row r="88" spans="1:6" x14ac:dyDescent="0.35">
      <c r="A88" s="152"/>
      <c r="B88" s="151"/>
      <c r="C88" s="151"/>
      <c r="D88" s="19"/>
      <c r="E88" s="19"/>
      <c r="F88" s="19"/>
    </row>
    <row r="89" spans="1:6" x14ac:dyDescent="0.35">
      <c r="A89" s="152"/>
      <c r="B89" s="151"/>
      <c r="C89" s="151"/>
      <c r="D89" s="16"/>
      <c r="E89" s="19"/>
      <c r="F89" s="19"/>
    </row>
    <row r="90" spans="1:6" x14ac:dyDescent="0.35">
      <c r="A90" s="21"/>
      <c r="B90" s="151"/>
      <c r="C90" s="19"/>
      <c r="D90" s="16"/>
      <c r="E90" s="19"/>
      <c r="F90" s="19"/>
    </row>
    <row r="91" spans="1:6" x14ac:dyDescent="0.35">
      <c r="A91" s="152"/>
      <c r="B91" s="151"/>
      <c r="C91" s="19"/>
      <c r="D91" s="16"/>
      <c r="E91" s="19"/>
      <c r="F91" s="19"/>
    </row>
    <row r="92" spans="1:6" x14ac:dyDescent="0.35">
      <c r="A92" s="152"/>
      <c r="B92" s="151"/>
      <c r="C92" s="19"/>
      <c r="D92" s="16"/>
      <c r="E92" s="19"/>
      <c r="F92" s="19"/>
    </row>
    <row r="93" spans="1:6" x14ac:dyDescent="0.35">
      <c r="A93" s="152"/>
      <c r="B93" s="151"/>
      <c r="C93" s="19"/>
      <c r="D93" s="16"/>
      <c r="E93" s="19"/>
      <c r="F93" s="19"/>
    </row>
    <row r="94" spans="1:6" x14ac:dyDescent="0.35">
      <c r="A94" s="21"/>
      <c r="B94" s="151"/>
      <c r="C94" s="19"/>
      <c r="D94" s="19"/>
      <c r="E94" s="19"/>
      <c r="F94" s="19"/>
    </row>
    <row r="95" spans="1:6" ht="15" customHeight="1" x14ac:dyDescent="0.35">
      <c r="A95" s="21"/>
      <c r="B95" s="151"/>
      <c r="C95" s="19"/>
      <c r="D95" s="19"/>
      <c r="E95" s="19"/>
      <c r="F95" s="19"/>
    </row>
    <row r="96" spans="1:6" x14ac:dyDescent="0.35">
      <c r="A96" s="21"/>
      <c r="B96" s="151"/>
      <c r="C96" s="19"/>
      <c r="D96" s="19"/>
      <c r="E96" s="19"/>
      <c r="F96" s="19"/>
    </row>
    <row r="97" spans="1:6" x14ac:dyDescent="0.35">
      <c r="A97" s="21"/>
      <c r="B97" s="151"/>
      <c r="C97" s="19"/>
      <c r="D97" s="19"/>
      <c r="E97" s="19"/>
      <c r="F97" s="19"/>
    </row>
    <row r="98" spans="1:6" x14ac:dyDescent="0.35">
      <c r="A98" s="21"/>
      <c r="B98" s="151"/>
      <c r="C98" s="19"/>
      <c r="D98" s="19"/>
      <c r="E98" s="19"/>
      <c r="F98" s="19"/>
    </row>
    <row r="99" spans="1:6" x14ac:dyDescent="0.35">
      <c r="A99" s="21"/>
      <c r="B99" s="151"/>
      <c r="C99" s="19"/>
      <c r="D99" s="19"/>
      <c r="E99" s="19"/>
      <c r="F99" s="19"/>
    </row>
    <row r="100" spans="1:6" x14ac:dyDescent="0.35">
      <c r="A100" s="21"/>
      <c r="B100" s="151"/>
      <c r="C100" s="19"/>
      <c r="D100" s="19"/>
      <c r="E100" s="19"/>
      <c r="F100" s="19"/>
    </row>
    <row r="101" spans="1:6" x14ac:dyDescent="0.35">
      <c r="A101" s="21"/>
      <c r="B101" s="151"/>
      <c r="C101" s="19"/>
      <c r="D101" s="19"/>
      <c r="E101" s="19"/>
      <c r="F101" s="19"/>
    </row>
    <row r="102" spans="1:6" x14ac:dyDescent="0.35">
      <c r="A102" s="21"/>
      <c r="B102" s="151"/>
      <c r="C102" s="19"/>
      <c r="D102" s="19"/>
      <c r="E102" s="19"/>
      <c r="F102" s="19"/>
    </row>
    <row r="103" spans="1:6" x14ac:dyDescent="0.35">
      <c r="A103" s="21"/>
      <c r="B103" s="151"/>
      <c r="C103" s="19"/>
      <c r="D103" s="19"/>
      <c r="E103" s="19"/>
      <c r="F103" s="19"/>
    </row>
    <row r="104" spans="1:6" x14ac:dyDescent="0.35">
      <c r="A104" s="21"/>
      <c r="B104" s="151"/>
      <c r="C104" s="19"/>
      <c r="D104" s="19"/>
      <c r="E104" s="19"/>
      <c r="F104" s="19"/>
    </row>
    <row r="105" spans="1:6" x14ac:dyDescent="0.35">
      <c r="A105" s="21"/>
      <c r="B105" s="151"/>
      <c r="C105" s="19"/>
      <c r="D105" s="19"/>
      <c r="E105" s="19"/>
      <c r="F105" s="19"/>
    </row>
    <row r="106" spans="1:6" x14ac:dyDescent="0.35">
      <c r="A106" s="21"/>
      <c r="B106" s="19"/>
      <c r="C106" s="19"/>
      <c r="D106" s="19"/>
      <c r="E106" s="19"/>
      <c r="F106" s="19"/>
    </row>
  </sheetData>
  <mergeCells count="3">
    <mergeCell ref="A5:F6"/>
    <mergeCell ref="C12:D12"/>
    <mergeCell ref="A11:F11"/>
  </mergeCells>
  <conditionalFormatting sqref="E9">
    <cfRule type="cellIs" dxfId="27" priority="33" operator="equal">
      <formula>100</formula>
    </cfRule>
    <cfRule type="cellIs" dxfId="26" priority="34" operator="between">
      <formula>50</formula>
      <formula>99</formula>
    </cfRule>
    <cfRule type="cellIs" dxfId="25" priority="35" operator="lessThan">
      <formula>50</formula>
    </cfRule>
  </conditionalFormatting>
  <conditionalFormatting sqref="E13:E106">
    <cfRule type="cellIs" dxfId="24" priority="1" operator="equal">
      <formula>"Cerrada"</formula>
    </cfRule>
    <cfRule type="cellIs" dxfId="23" priority="2" operator="equal">
      <formula>"Pendiente"</formula>
    </cfRule>
  </conditionalFormatting>
  <dataValidations count="1">
    <dataValidation type="list" allowBlank="1" showInputMessage="1" showErrorMessage="1" sqref="E7 E13:E1048576" xr:uid="{2F7F2C2C-3204-4633-B037-97EDC4F7739F}">
      <formula1>"Pendiente,Cerrada"</formula1>
    </dataValidation>
  </dataValidation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52A4-9464-4B9D-8518-91DA2B24ECC5}">
  <dimension ref="B2:V50"/>
  <sheetViews>
    <sheetView topLeftCell="A13" zoomScale="90" zoomScaleNormal="90" workbookViewId="0">
      <selection activeCell="F24" sqref="F24"/>
    </sheetView>
  </sheetViews>
  <sheetFormatPr baseColWidth="10" defaultColWidth="9.453125" defaultRowHeight="12.5" x14ac:dyDescent="0.25"/>
  <cols>
    <col min="1" max="1" width="1.54296875" style="28" customWidth="1"/>
    <col min="2" max="2" width="30.54296875" style="28" customWidth="1"/>
    <col min="3" max="3" width="18.54296875" style="28" customWidth="1"/>
    <col min="4" max="4" width="18.54296875" style="35" customWidth="1"/>
    <col min="5" max="7" width="18.54296875" style="31" customWidth="1"/>
    <col min="8" max="8" width="18.54296875" style="28" customWidth="1"/>
    <col min="9" max="9" width="7.453125" style="28" customWidth="1"/>
    <col min="10" max="10" width="11" style="28" bestFit="1" customWidth="1"/>
    <col min="11" max="11" width="14.453125" style="28" bestFit="1" customWidth="1"/>
    <col min="12" max="12" width="20.453125" style="28" bestFit="1" customWidth="1"/>
    <col min="13" max="13" width="14.54296875" style="31" bestFit="1" customWidth="1"/>
    <col min="14" max="15" width="14.453125" style="28" bestFit="1" customWidth="1"/>
    <col min="16" max="16" width="1.54296875" style="28" customWidth="1"/>
    <col min="17" max="17" width="9.453125" style="28"/>
    <col min="18" max="18" width="11" style="28" bestFit="1" customWidth="1"/>
    <col min="19" max="19" width="18.54296875" style="28" bestFit="1" customWidth="1"/>
    <col min="20" max="20" width="11.54296875" style="28" bestFit="1" customWidth="1"/>
    <col min="21" max="21" width="15.54296875" style="28" customWidth="1"/>
    <col min="22" max="16384" width="9.453125" style="28"/>
  </cols>
  <sheetData>
    <row r="2" spans="2:12" ht="13" thickBot="1" x14ac:dyDescent="0.3">
      <c r="C2" s="29" t="s">
        <v>21</v>
      </c>
      <c r="D2" s="30" t="s">
        <v>22</v>
      </c>
    </row>
    <row r="3" spans="2:12" ht="13" thickBot="1" x14ac:dyDescent="0.3">
      <c r="B3" s="28" t="s">
        <v>23</v>
      </c>
      <c r="C3" s="32">
        <f>D3/1.19</f>
        <v>0</v>
      </c>
      <c r="D3" s="97">
        <f>FichaTecnica!B12</f>
        <v>0</v>
      </c>
      <c r="L3" s="33"/>
    </row>
    <row r="4" spans="2:12" x14ac:dyDescent="0.25">
      <c r="B4" s="28" t="s">
        <v>24</v>
      </c>
      <c r="C4" s="34">
        <v>0</v>
      </c>
    </row>
    <row r="5" spans="2:12" x14ac:dyDescent="0.25">
      <c r="B5" s="28" t="s">
        <v>25</v>
      </c>
      <c r="C5" s="28">
        <v>176</v>
      </c>
    </row>
    <row r="6" spans="2:12" x14ac:dyDescent="0.25">
      <c r="B6" s="28" t="s">
        <v>26</v>
      </c>
      <c r="C6" s="36">
        <v>0</v>
      </c>
    </row>
    <row r="7" spans="2:12" x14ac:dyDescent="0.25">
      <c r="B7" s="28" t="s">
        <v>27</v>
      </c>
      <c r="C7" s="37">
        <v>0</v>
      </c>
    </row>
    <row r="8" spans="2:12" x14ac:dyDescent="0.25">
      <c r="C8" s="29" t="s">
        <v>21</v>
      </c>
      <c r="D8" s="30" t="s">
        <v>22</v>
      </c>
    </row>
    <row r="9" spans="2:12" x14ac:dyDescent="0.25">
      <c r="B9" s="28" t="s">
        <v>28</v>
      </c>
      <c r="C9" s="38">
        <f>C3*(1-C7)</f>
        <v>0</v>
      </c>
      <c r="D9" s="39">
        <f>C9*(1+19%)</f>
        <v>0</v>
      </c>
    </row>
    <row r="10" spans="2:12" x14ac:dyDescent="0.25">
      <c r="B10" s="28" t="s">
        <v>29</v>
      </c>
      <c r="C10" s="40" t="e">
        <f>(C9-C20)/C9</f>
        <v>#DIV/0!</v>
      </c>
      <c r="D10" s="41"/>
    </row>
    <row r="11" spans="2:12" x14ac:dyDescent="0.25">
      <c r="B11" s="28" t="s">
        <v>150</v>
      </c>
      <c r="C11" s="33">
        <f>C9-C20</f>
        <v>0</v>
      </c>
    </row>
    <row r="12" spans="2:12" x14ac:dyDescent="0.25">
      <c r="B12" s="204" t="s">
        <v>30</v>
      </c>
      <c r="C12" s="204"/>
      <c r="D12" s="42"/>
    </row>
    <row r="13" spans="2:12" x14ac:dyDescent="0.25">
      <c r="B13" s="28" t="s">
        <v>31</v>
      </c>
      <c r="C13" s="33">
        <f>H32</f>
        <v>0</v>
      </c>
      <c r="D13" s="43"/>
    </row>
    <row r="14" spans="2:12" x14ac:dyDescent="0.25">
      <c r="B14" s="28" t="s">
        <v>32</v>
      </c>
      <c r="C14" s="33">
        <f>C9*10%</f>
        <v>0</v>
      </c>
      <c r="D14" s="31"/>
    </row>
    <row r="15" spans="2:12" x14ac:dyDescent="0.25">
      <c r="B15" s="28" t="s">
        <v>33</v>
      </c>
      <c r="C15" s="33">
        <v>0</v>
      </c>
      <c r="D15" s="45"/>
    </row>
    <row r="16" spans="2:12" x14ac:dyDescent="0.25">
      <c r="B16" s="28" t="s">
        <v>34</v>
      </c>
      <c r="C16" s="33">
        <f>+Pólizas!J26</f>
        <v>0</v>
      </c>
      <c r="D16" s="46"/>
    </row>
    <row r="17" spans="2:22" x14ac:dyDescent="0.25">
      <c r="B17" s="28" t="s">
        <v>35</v>
      </c>
      <c r="C17" s="33">
        <f>P32</f>
        <v>0</v>
      </c>
      <c r="D17" s="31"/>
    </row>
    <row r="18" spans="2:22" x14ac:dyDescent="0.25">
      <c r="B18" s="28" t="s">
        <v>36</v>
      </c>
      <c r="C18" s="33">
        <f>V31</f>
        <v>0</v>
      </c>
      <c r="D18" s="31"/>
    </row>
    <row r="19" spans="2:22" x14ac:dyDescent="0.25">
      <c r="B19" s="28" t="s">
        <v>147</v>
      </c>
      <c r="C19" s="33">
        <v>0</v>
      </c>
      <c r="D19" s="43"/>
    </row>
    <row r="20" spans="2:22" x14ac:dyDescent="0.25">
      <c r="C20" s="47">
        <f>SUM(C13:C19)</f>
        <v>0</v>
      </c>
      <c r="D20" s="48"/>
    </row>
    <row r="22" spans="2:22" x14ac:dyDescent="0.25">
      <c r="B22" s="204" t="s">
        <v>31</v>
      </c>
      <c r="C22" s="204"/>
      <c r="D22" s="204"/>
      <c r="E22" s="204"/>
      <c r="F22" s="204"/>
      <c r="G22" s="204"/>
      <c r="H22" s="204"/>
      <c r="J22" s="205" t="s">
        <v>35</v>
      </c>
      <c r="K22" s="205"/>
      <c r="L22" s="205"/>
      <c r="M22" s="205"/>
      <c r="N22" s="205"/>
      <c r="O22" s="205"/>
      <c r="Q22" s="205" t="s">
        <v>36</v>
      </c>
      <c r="R22" s="205"/>
      <c r="S22" s="205"/>
      <c r="T22" s="205"/>
      <c r="U22" s="205"/>
    </row>
    <row r="23" spans="2:22" x14ac:dyDescent="0.25">
      <c r="B23" s="31" t="s">
        <v>37</v>
      </c>
      <c r="C23" s="31" t="s">
        <v>149</v>
      </c>
      <c r="D23" s="31" t="s">
        <v>38</v>
      </c>
      <c r="E23" s="31" t="s">
        <v>39</v>
      </c>
      <c r="F23" s="49" t="s">
        <v>40</v>
      </c>
      <c r="G23" s="49" t="s">
        <v>41</v>
      </c>
      <c r="H23" s="31" t="s">
        <v>42</v>
      </c>
      <c r="I23" s="31"/>
      <c r="J23" s="35"/>
      <c r="K23" s="31" t="s">
        <v>37</v>
      </c>
      <c r="L23" s="31" t="s">
        <v>38</v>
      </c>
      <c r="M23" s="49" t="s">
        <v>40</v>
      </c>
      <c r="N23" s="49" t="s">
        <v>41</v>
      </c>
      <c r="O23" s="50" t="s">
        <v>39</v>
      </c>
      <c r="P23" s="31" t="s">
        <v>42</v>
      </c>
      <c r="Q23" s="35"/>
      <c r="R23" s="31" t="s">
        <v>37</v>
      </c>
      <c r="S23" s="31" t="s">
        <v>38</v>
      </c>
      <c r="T23" s="49" t="s">
        <v>40</v>
      </c>
      <c r="U23" s="49" t="s">
        <v>43</v>
      </c>
      <c r="V23" s="31" t="s">
        <v>42</v>
      </c>
    </row>
    <row r="24" spans="2:22" x14ac:dyDescent="0.25">
      <c r="B24" s="36" t="s">
        <v>44</v>
      </c>
      <c r="C24" s="175"/>
      <c r="D24" s="155"/>
      <c r="E24" s="51"/>
      <c r="F24" s="154">
        <f>D24*(1+54%)</f>
        <v>0</v>
      </c>
      <c r="G24" s="52">
        <v>250000</v>
      </c>
      <c r="H24" s="153">
        <f>SUM(F24:G24)*E24*$C$4*C24</f>
        <v>0</v>
      </c>
      <c r="I24" s="153"/>
      <c r="K24" s="36"/>
      <c r="L24" s="44"/>
      <c r="M24" s="32">
        <f>L24*(1+54%)</f>
        <v>0</v>
      </c>
      <c r="N24" s="52">
        <f>180000+(15*3000)</f>
        <v>225000</v>
      </c>
      <c r="O24" s="53"/>
      <c r="P24" s="32">
        <f>SUM(M24:N24)*O24*$C$6</f>
        <v>0</v>
      </c>
      <c r="R24" s="36"/>
      <c r="S24" s="44"/>
      <c r="T24" s="32">
        <f>S24*(1+54%)</f>
        <v>0</v>
      </c>
      <c r="U24" s="54"/>
      <c r="V24" s="32">
        <f>(T24/240)*U24</f>
        <v>0</v>
      </c>
    </row>
    <row r="25" spans="2:22" x14ac:dyDescent="0.25">
      <c r="B25" s="36"/>
      <c r="C25" s="175"/>
      <c r="D25" s="155"/>
      <c r="E25" s="51"/>
      <c r="F25" s="154">
        <f t="shared" ref="F25:F31" si="0">D25*(1+54%)</f>
        <v>0</v>
      </c>
      <c r="G25" s="52">
        <v>250000</v>
      </c>
      <c r="H25" s="153">
        <f t="shared" ref="H25:H31" si="1">SUM(F25:G25)*E25*$C$4*C25</f>
        <v>0</v>
      </c>
      <c r="I25" s="153"/>
      <c r="M25" s="28"/>
      <c r="N25" s="52"/>
      <c r="R25" s="36"/>
      <c r="S25" s="44"/>
      <c r="T25" s="32">
        <f>S25*(1+54%)</f>
        <v>0</v>
      </c>
      <c r="U25" s="54"/>
      <c r="V25" s="32">
        <f>(T25/240)*U25</f>
        <v>0</v>
      </c>
    </row>
    <row r="26" spans="2:22" x14ac:dyDescent="0.25">
      <c r="B26" s="36"/>
      <c r="C26" s="175"/>
      <c r="D26" s="155"/>
      <c r="E26" s="51"/>
      <c r="F26" s="154">
        <f t="shared" si="0"/>
        <v>0</v>
      </c>
      <c r="G26" s="52">
        <v>250000</v>
      </c>
      <c r="H26" s="153">
        <f t="shared" si="1"/>
        <v>0</v>
      </c>
      <c r="I26" s="153"/>
      <c r="M26" s="28"/>
      <c r="N26" s="52"/>
      <c r="R26" s="36"/>
      <c r="S26" s="36"/>
      <c r="U26" s="36"/>
    </row>
    <row r="27" spans="2:22" x14ac:dyDescent="0.25">
      <c r="B27" s="36"/>
      <c r="C27" s="175"/>
      <c r="D27" s="155"/>
      <c r="E27" s="51"/>
      <c r="F27" s="154">
        <f t="shared" si="0"/>
        <v>0</v>
      </c>
      <c r="G27" s="52">
        <v>250000</v>
      </c>
      <c r="H27" s="153">
        <f t="shared" si="1"/>
        <v>0</v>
      </c>
      <c r="I27" s="153"/>
      <c r="M27" s="28"/>
      <c r="N27" s="52"/>
      <c r="R27" s="36"/>
      <c r="S27" s="36"/>
      <c r="U27" s="36"/>
    </row>
    <row r="28" spans="2:22" x14ac:dyDescent="0.25">
      <c r="B28" s="36"/>
      <c r="C28" s="175"/>
      <c r="D28" s="155"/>
      <c r="E28" s="51"/>
      <c r="F28" s="154">
        <f t="shared" si="0"/>
        <v>0</v>
      </c>
      <c r="G28" s="52">
        <v>250000</v>
      </c>
      <c r="H28" s="153">
        <f t="shared" si="1"/>
        <v>0</v>
      </c>
      <c r="I28" s="153"/>
      <c r="M28" s="28"/>
      <c r="N28" s="52"/>
      <c r="R28" s="36"/>
      <c r="S28" s="36"/>
      <c r="U28" s="36"/>
    </row>
    <row r="29" spans="2:22" x14ac:dyDescent="0.25">
      <c r="B29" s="36"/>
      <c r="C29" s="175"/>
      <c r="D29" s="155"/>
      <c r="E29" s="51"/>
      <c r="F29" s="154">
        <f t="shared" si="0"/>
        <v>0</v>
      </c>
      <c r="G29" s="52">
        <v>250000</v>
      </c>
      <c r="H29" s="153">
        <f t="shared" si="1"/>
        <v>0</v>
      </c>
      <c r="I29" s="153"/>
      <c r="M29" s="28"/>
      <c r="N29" s="52"/>
      <c r="R29" s="36"/>
      <c r="S29" s="36"/>
      <c r="U29" s="36"/>
    </row>
    <row r="30" spans="2:22" x14ac:dyDescent="0.25">
      <c r="B30" s="36"/>
      <c r="C30" s="175"/>
      <c r="D30" s="155"/>
      <c r="E30" s="51"/>
      <c r="F30" s="154">
        <f t="shared" si="0"/>
        <v>0</v>
      </c>
      <c r="G30" s="52">
        <v>250000</v>
      </c>
      <c r="H30" s="153">
        <f t="shared" si="1"/>
        <v>0</v>
      </c>
      <c r="I30" s="153"/>
      <c r="M30" s="28"/>
      <c r="N30" s="52"/>
      <c r="R30" s="36"/>
      <c r="S30" s="36"/>
      <c r="U30" s="36"/>
    </row>
    <row r="31" spans="2:22" x14ac:dyDescent="0.25">
      <c r="B31" s="36"/>
      <c r="C31" s="175"/>
      <c r="D31" s="155"/>
      <c r="E31" s="51"/>
      <c r="F31" s="154">
        <f t="shared" si="0"/>
        <v>0</v>
      </c>
      <c r="G31" s="52">
        <v>250000</v>
      </c>
      <c r="H31" s="153">
        <f t="shared" si="1"/>
        <v>0</v>
      </c>
      <c r="I31" s="153"/>
      <c r="M31" s="28"/>
      <c r="N31" s="52"/>
      <c r="R31" s="36"/>
      <c r="S31" s="36"/>
      <c r="U31" s="36"/>
    </row>
    <row r="32" spans="2:22" x14ac:dyDescent="0.25">
      <c r="D32" s="55"/>
      <c r="E32" s="39"/>
      <c r="F32" s="45"/>
      <c r="G32" s="45"/>
      <c r="H32" s="45">
        <f>SUM(H24:H31)</f>
        <v>0</v>
      </c>
      <c r="I32" s="45"/>
      <c r="J32" s="55"/>
      <c r="K32" s="55"/>
      <c r="L32" s="55"/>
      <c r="M32" s="55"/>
      <c r="N32" s="45"/>
      <c r="O32" s="55"/>
      <c r="P32" s="55">
        <f>SUM(P24:P26)</f>
        <v>0</v>
      </c>
      <c r="Q32" s="55">
        <f>SUM(Q24:Q26)</f>
        <v>0</v>
      </c>
      <c r="R32" s="55"/>
      <c r="S32" s="55"/>
      <c r="T32" s="55"/>
      <c r="U32" s="55"/>
      <c r="V32" s="55">
        <f>SUM(V24:V26)</f>
        <v>0</v>
      </c>
    </row>
    <row r="42" spans="2:2" x14ac:dyDescent="0.25">
      <c r="B42" s="28" t="s">
        <v>134</v>
      </c>
    </row>
    <row r="43" spans="2:2" x14ac:dyDescent="0.25">
      <c r="B43" s="28" t="s">
        <v>128</v>
      </c>
    </row>
    <row r="44" spans="2:2" x14ac:dyDescent="0.25">
      <c r="B44" s="28" t="s">
        <v>126</v>
      </c>
    </row>
    <row r="45" spans="2:2" x14ac:dyDescent="0.25">
      <c r="B45" s="28" t="s">
        <v>129</v>
      </c>
    </row>
    <row r="46" spans="2:2" x14ac:dyDescent="0.25">
      <c r="B46" s="28" t="s">
        <v>127</v>
      </c>
    </row>
    <row r="47" spans="2:2" x14ac:dyDescent="0.25">
      <c r="B47" s="28" t="s">
        <v>130</v>
      </c>
    </row>
    <row r="48" spans="2:2" x14ac:dyDescent="0.25">
      <c r="B48" s="28" t="s">
        <v>133</v>
      </c>
    </row>
    <row r="49" spans="2:2" x14ac:dyDescent="0.25">
      <c r="B49" s="28" t="s">
        <v>131</v>
      </c>
    </row>
    <row r="50" spans="2:2" x14ac:dyDescent="0.25">
      <c r="B50" s="28" t="s">
        <v>132</v>
      </c>
    </row>
  </sheetData>
  <mergeCells count="4">
    <mergeCell ref="B12:C12"/>
    <mergeCell ref="J22:O22"/>
    <mergeCell ref="Q22:U22"/>
    <mergeCell ref="B22:H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D52D-9BE4-44F5-A8AA-5EE58E15E350}">
  <dimension ref="B1:C274"/>
  <sheetViews>
    <sheetView tabSelected="1" workbookViewId="0">
      <selection activeCell="B4" sqref="B4"/>
    </sheetView>
  </sheetViews>
  <sheetFormatPr baseColWidth="10" defaultRowHeight="14.5" x14ac:dyDescent="0.35"/>
  <cols>
    <col min="2" max="2" width="24" style="211" customWidth="1"/>
    <col min="3" max="3" width="41.08984375" style="211" customWidth="1"/>
  </cols>
  <sheetData>
    <row r="1" spans="2:3" ht="15" thickBot="1" x14ac:dyDescent="0.4"/>
    <row r="2" spans="2:3" ht="15" thickBot="1" x14ac:dyDescent="0.4">
      <c r="B2" s="214" t="s">
        <v>169</v>
      </c>
      <c r="C2" s="214"/>
    </row>
    <row r="3" spans="2:3" x14ac:dyDescent="0.35">
      <c r="B3" s="215" t="s">
        <v>170</v>
      </c>
      <c r="C3" s="215" t="s">
        <v>171</v>
      </c>
    </row>
    <row r="4" spans="2:3" x14ac:dyDescent="0.35">
      <c r="B4" s="212"/>
      <c r="C4" s="212"/>
    </row>
    <row r="5" spans="2:3" x14ac:dyDescent="0.35">
      <c r="B5" s="212"/>
      <c r="C5" s="212"/>
    </row>
    <row r="6" spans="2:3" x14ac:dyDescent="0.35">
      <c r="B6" s="212"/>
      <c r="C6" s="212"/>
    </row>
    <row r="7" spans="2:3" x14ac:dyDescent="0.35">
      <c r="B7" s="212"/>
      <c r="C7" s="212"/>
    </row>
    <row r="8" spans="2:3" x14ac:dyDescent="0.35">
      <c r="B8" s="212"/>
      <c r="C8" s="212"/>
    </row>
    <row r="9" spans="2:3" x14ac:dyDescent="0.35">
      <c r="B9" s="212"/>
      <c r="C9" s="212"/>
    </row>
    <row r="10" spans="2:3" x14ac:dyDescent="0.35">
      <c r="B10" s="212"/>
      <c r="C10" s="213"/>
    </row>
    <row r="11" spans="2:3" x14ac:dyDescent="0.35">
      <c r="B11" s="212"/>
      <c r="C11" s="212"/>
    </row>
    <row r="12" spans="2:3" x14ac:dyDescent="0.35">
      <c r="B12" s="212"/>
      <c r="C12" s="212"/>
    </row>
    <row r="13" spans="2:3" x14ac:dyDescent="0.35">
      <c r="B13" s="212"/>
      <c r="C13" s="212"/>
    </row>
    <row r="14" spans="2:3" x14ac:dyDescent="0.35">
      <c r="B14" s="212"/>
      <c r="C14" s="212"/>
    </row>
    <row r="15" spans="2:3" x14ac:dyDescent="0.35">
      <c r="B15" s="212"/>
      <c r="C15" s="212"/>
    </row>
    <row r="16" spans="2:3" x14ac:dyDescent="0.35">
      <c r="B16" s="212"/>
      <c r="C16" s="212"/>
    </row>
    <row r="17" spans="2:3" x14ac:dyDescent="0.35">
      <c r="B17" s="212"/>
      <c r="C17" s="212"/>
    </row>
    <row r="18" spans="2:3" x14ac:dyDescent="0.35">
      <c r="B18" s="212"/>
      <c r="C18" s="212"/>
    </row>
    <row r="19" spans="2:3" x14ac:dyDescent="0.35">
      <c r="B19" s="212"/>
      <c r="C19" s="212"/>
    </row>
    <row r="20" spans="2:3" x14ac:dyDescent="0.35">
      <c r="B20" s="212"/>
      <c r="C20" s="212"/>
    </row>
    <row r="21" spans="2:3" x14ac:dyDescent="0.35">
      <c r="B21" s="212"/>
      <c r="C21" s="212"/>
    </row>
    <row r="22" spans="2:3" x14ac:dyDescent="0.35">
      <c r="B22" s="212"/>
      <c r="C22" s="212"/>
    </row>
    <row r="23" spans="2:3" x14ac:dyDescent="0.35">
      <c r="B23" s="212"/>
      <c r="C23" s="212"/>
    </row>
    <row r="24" spans="2:3" x14ac:dyDescent="0.35">
      <c r="B24" s="212"/>
      <c r="C24" s="212"/>
    </row>
    <row r="25" spans="2:3" x14ac:dyDescent="0.35">
      <c r="B25" s="212"/>
      <c r="C25" s="212"/>
    </row>
    <row r="26" spans="2:3" x14ac:dyDescent="0.35">
      <c r="B26" s="212"/>
      <c r="C26" s="212"/>
    </row>
    <row r="27" spans="2:3" x14ac:dyDescent="0.35">
      <c r="B27" s="212"/>
      <c r="C27" s="212"/>
    </row>
    <row r="28" spans="2:3" x14ac:dyDescent="0.35">
      <c r="B28" s="212"/>
      <c r="C28" s="212"/>
    </row>
    <row r="29" spans="2:3" x14ac:dyDescent="0.35">
      <c r="B29" s="212"/>
      <c r="C29" s="212"/>
    </row>
    <row r="30" spans="2:3" x14ac:dyDescent="0.35">
      <c r="B30" s="212"/>
      <c r="C30" s="212"/>
    </row>
    <row r="31" spans="2:3" x14ac:dyDescent="0.35">
      <c r="B31" s="212"/>
      <c r="C31" s="212"/>
    </row>
    <row r="32" spans="2:3" x14ac:dyDescent="0.35">
      <c r="B32" s="212"/>
      <c r="C32" s="212"/>
    </row>
    <row r="33" spans="2:3" x14ac:dyDescent="0.35">
      <c r="B33" s="212"/>
      <c r="C33" s="212"/>
    </row>
    <row r="34" spans="2:3" x14ac:dyDescent="0.35">
      <c r="B34" s="212"/>
      <c r="C34" s="212"/>
    </row>
    <row r="35" spans="2:3" x14ac:dyDescent="0.35">
      <c r="B35" s="212"/>
      <c r="C35" s="212"/>
    </row>
    <row r="36" spans="2:3" x14ac:dyDescent="0.35">
      <c r="B36" s="212"/>
      <c r="C36" s="212"/>
    </row>
    <row r="37" spans="2:3" x14ac:dyDescent="0.35">
      <c r="B37" s="212"/>
      <c r="C37" s="212"/>
    </row>
    <row r="38" spans="2:3" x14ac:dyDescent="0.35">
      <c r="B38" s="212"/>
      <c r="C38" s="212"/>
    </row>
    <row r="39" spans="2:3" x14ac:dyDescent="0.35">
      <c r="B39" s="212"/>
      <c r="C39" s="212"/>
    </row>
    <row r="40" spans="2:3" x14ac:dyDescent="0.35">
      <c r="B40" s="212"/>
      <c r="C40" s="212"/>
    </row>
    <row r="41" spans="2:3" x14ac:dyDescent="0.35">
      <c r="B41" s="212"/>
      <c r="C41" s="212"/>
    </row>
    <row r="42" spans="2:3" x14ac:dyDescent="0.35">
      <c r="B42" s="212"/>
      <c r="C42" s="212"/>
    </row>
    <row r="43" spans="2:3" x14ac:dyDescent="0.35">
      <c r="B43" s="212"/>
      <c r="C43" s="212"/>
    </row>
    <row r="44" spans="2:3" x14ac:dyDescent="0.35">
      <c r="B44" s="212"/>
      <c r="C44" s="212"/>
    </row>
    <row r="45" spans="2:3" x14ac:dyDescent="0.35">
      <c r="B45" s="212"/>
      <c r="C45" s="212"/>
    </row>
    <row r="46" spans="2:3" x14ac:dyDescent="0.35">
      <c r="B46" s="212"/>
      <c r="C46" s="212"/>
    </row>
    <row r="47" spans="2:3" x14ac:dyDescent="0.35">
      <c r="B47" s="212"/>
      <c r="C47" s="212"/>
    </row>
    <row r="48" spans="2:3" x14ac:dyDescent="0.35">
      <c r="B48" s="212"/>
      <c r="C48" s="212"/>
    </row>
    <row r="49" spans="2:3" x14ac:dyDescent="0.35">
      <c r="B49" s="212"/>
      <c r="C49" s="212"/>
    </row>
    <row r="50" spans="2:3" x14ac:dyDescent="0.35">
      <c r="B50" s="212"/>
      <c r="C50" s="212"/>
    </row>
    <row r="51" spans="2:3" x14ac:dyDescent="0.35">
      <c r="B51" s="212"/>
      <c r="C51" s="212"/>
    </row>
    <row r="52" spans="2:3" x14ac:dyDescent="0.35">
      <c r="B52" s="212"/>
      <c r="C52" s="212"/>
    </row>
    <row r="53" spans="2:3" x14ac:dyDescent="0.35">
      <c r="B53" s="212"/>
      <c r="C53" s="212"/>
    </row>
    <row r="54" spans="2:3" x14ac:dyDescent="0.35">
      <c r="B54" s="212"/>
      <c r="C54" s="212"/>
    </row>
    <row r="55" spans="2:3" x14ac:dyDescent="0.35">
      <c r="B55" s="212"/>
      <c r="C55" s="212"/>
    </row>
    <row r="56" spans="2:3" x14ac:dyDescent="0.35">
      <c r="B56" s="212"/>
      <c r="C56" s="212"/>
    </row>
    <row r="57" spans="2:3" x14ac:dyDescent="0.35">
      <c r="B57" s="212"/>
      <c r="C57" s="212"/>
    </row>
    <row r="58" spans="2:3" x14ac:dyDescent="0.35">
      <c r="B58" s="212"/>
      <c r="C58" s="212"/>
    </row>
    <row r="59" spans="2:3" x14ac:dyDescent="0.35">
      <c r="B59" s="212"/>
      <c r="C59" s="212"/>
    </row>
    <row r="60" spans="2:3" x14ac:dyDescent="0.35">
      <c r="B60" s="212"/>
      <c r="C60" s="212"/>
    </row>
    <row r="61" spans="2:3" x14ac:dyDescent="0.35">
      <c r="B61" s="212"/>
      <c r="C61" s="212"/>
    </row>
    <row r="62" spans="2:3" x14ac:dyDescent="0.35">
      <c r="B62" s="212"/>
      <c r="C62" s="212"/>
    </row>
    <row r="63" spans="2:3" x14ac:dyDescent="0.35">
      <c r="B63" s="212"/>
      <c r="C63" s="212"/>
    </row>
    <row r="64" spans="2:3" x14ac:dyDescent="0.35">
      <c r="B64" s="212"/>
      <c r="C64" s="212"/>
    </row>
    <row r="65" spans="2:3" x14ac:dyDescent="0.35">
      <c r="B65" s="212"/>
      <c r="C65" s="212"/>
    </row>
    <row r="66" spans="2:3" x14ac:dyDescent="0.35">
      <c r="B66" s="212"/>
      <c r="C66" s="212"/>
    </row>
    <row r="67" spans="2:3" x14ac:dyDescent="0.35">
      <c r="B67" s="212"/>
      <c r="C67" s="212"/>
    </row>
    <row r="68" spans="2:3" x14ac:dyDescent="0.35">
      <c r="B68" s="212"/>
      <c r="C68" s="212"/>
    </row>
    <row r="69" spans="2:3" x14ac:dyDescent="0.35">
      <c r="B69" s="212"/>
      <c r="C69" s="212"/>
    </row>
    <row r="70" spans="2:3" x14ac:dyDescent="0.35">
      <c r="B70" s="212"/>
      <c r="C70" s="212"/>
    </row>
    <row r="71" spans="2:3" x14ac:dyDescent="0.35">
      <c r="B71" s="212"/>
      <c r="C71" s="212"/>
    </row>
    <row r="72" spans="2:3" x14ac:dyDescent="0.35">
      <c r="B72" s="212"/>
      <c r="C72" s="212"/>
    </row>
    <row r="73" spans="2:3" x14ac:dyDescent="0.35">
      <c r="B73" s="212"/>
      <c r="C73" s="212"/>
    </row>
    <row r="74" spans="2:3" x14ac:dyDescent="0.35">
      <c r="B74" s="212"/>
      <c r="C74" s="212"/>
    </row>
    <row r="75" spans="2:3" x14ac:dyDescent="0.35">
      <c r="B75" s="212"/>
      <c r="C75" s="212"/>
    </row>
    <row r="76" spans="2:3" x14ac:dyDescent="0.35">
      <c r="B76" s="212"/>
      <c r="C76" s="212"/>
    </row>
    <row r="77" spans="2:3" x14ac:dyDescent="0.35">
      <c r="B77" s="212"/>
      <c r="C77" s="212"/>
    </row>
    <row r="78" spans="2:3" x14ac:dyDescent="0.35">
      <c r="B78" s="212"/>
      <c r="C78" s="212"/>
    </row>
    <row r="79" spans="2:3" x14ac:dyDescent="0.35">
      <c r="B79" s="212"/>
      <c r="C79" s="212"/>
    </row>
    <row r="80" spans="2:3" x14ac:dyDescent="0.35">
      <c r="B80" s="212"/>
      <c r="C80" s="212"/>
    </row>
    <row r="81" spans="2:3" x14ac:dyDescent="0.35">
      <c r="B81" s="212"/>
      <c r="C81" s="212"/>
    </row>
    <row r="82" spans="2:3" x14ac:dyDescent="0.35">
      <c r="B82" s="212"/>
      <c r="C82" s="212"/>
    </row>
    <row r="83" spans="2:3" x14ac:dyDescent="0.35">
      <c r="B83" s="212"/>
      <c r="C83" s="212"/>
    </row>
    <row r="84" spans="2:3" x14ac:dyDescent="0.35">
      <c r="B84" s="212"/>
      <c r="C84" s="212"/>
    </row>
    <row r="85" spans="2:3" x14ac:dyDescent="0.35">
      <c r="B85" s="212"/>
      <c r="C85" s="212"/>
    </row>
    <row r="86" spans="2:3" x14ac:dyDescent="0.35">
      <c r="B86" s="212"/>
      <c r="C86" s="212"/>
    </row>
    <row r="87" spans="2:3" x14ac:dyDescent="0.35">
      <c r="B87" s="212"/>
      <c r="C87" s="212"/>
    </row>
    <row r="88" spans="2:3" x14ac:dyDescent="0.35">
      <c r="B88" s="212"/>
      <c r="C88" s="212"/>
    </row>
    <row r="89" spans="2:3" x14ac:dyDescent="0.35">
      <c r="B89" s="212"/>
      <c r="C89" s="212"/>
    </row>
    <row r="90" spans="2:3" x14ac:dyDescent="0.35">
      <c r="B90" s="212"/>
      <c r="C90" s="212"/>
    </row>
    <row r="91" spans="2:3" x14ac:dyDescent="0.35">
      <c r="B91" s="212"/>
      <c r="C91" s="212"/>
    </row>
    <row r="92" spans="2:3" x14ac:dyDescent="0.35">
      <c r="B92" s="212"/>
      <c r="C92" s="212"/>
    </row>
    <row r="93" spans="2:3" x14ac:dyDescent="0.35">
      <c r="B93" s="212"/>
      <c r="C93" s="212"/>
    </row>
    <row r="94" spans="2:3" x14ac:dyDescent="0.35">
      <c r="B94" s="212"/>
      <c r="C94" s="212"/>
    </row>
    <row r="95" spans="2:3" x14ac:dyDescent="0.35">
      <c r="B95" s="212"/>
      <c r="C95" s="212"/>
    </row>
    <row r="96" spans="2:3" x14ac:dyDescent="0.35">
      <c r="B96" s="212"/>
      <c r="C96" s="212"/>
    </row>
    <row r="97" spans="2:3" x14ac:dyDescent="0.35">
      <c r="B97" s="212"/>
      <c r="C97" s="212"/>
    </row>
    <row r="98" spans="2:3" x14ac:dyDescent="0.35">
      <c r="B98" s="212"/>
      <c r="C98" s="212"/>
    </row>
    <row r="99" spans="2:3" x14ac:dyDescent="0.35">
      <c r="B99" s="212"/>
      <c r="C99" s="212"/>
    </row>
    <row r="100" spans="2:3" x14ac:dyDescent="0.35">
      <c r="B100" s="212"/>
      <c r="C100" s="212"/>
    </row>
    <row r="101" spans="2:3" x14ac:dyDescent="0.35">
      <c r="B101" s="212"/>
      <c r="C101" s="212"/>
    </row>
    <row r="102" spans="2:3" x14ac:dyDescent="0.35">
      <c r="B102" s="212"/>
      <c r="C102" s="212"/>
    </row>
    <row r="103" spans="2:3" x14ac:dyDescent="0.35">
      <c r="B103" s="212"/>
      <c r="C103" s="212"/>
    </row>
    <row r="104" spans="2:3" x14ac:dyDescent="0.35">
      <c r="B104" s="212"/>
      <c r="C104" s="212"/>
    </row>
    <row r="105" spans="2:3" x14ac:dyDescent="0.35">
      <c r="B105" s="212"/>
      <c r="C105" s="212"/>
    </row>
    <row r="106" spans="2:3" x14ac:dyDescent="0.35">
      <c r="B106" s="212"/>
      <c r="C106" s="212"/>
    </row>
    <row r="107" spans="2:3" x14ac:dyDescent="0.35">
      <c r="B107" s="212"/>
      <c r="C107" s="212"/>
    </row>
    <row r="108" spans="2:3" x14ac:dyDescent="0.35">
      <c r="B108" s="212"/>
      <c r="C108" s="212"/>
    </row>
    <row r="109" spans="2:3" x14ac:dyDescent="0.35">
      <c r="B109" s="212"/>
      <c r="C109" s="212"/>
    </row>
    <row r="110" spans="2:3" x14ac:dyDescent="0.35">
      <c r="B110" s="212"/>
      <c r="C110" s="212"/>
    </row>
    <row r="111" spans="2:3" x14ac:dyDescent="0.35">
      <c r="B111" s="212"/>
      <c r="C111" s="212"/>
    </row>
    <row r="112" spans="2:3" x14ac:dyDescent="0.35">
      <c r="B112" s="212"/>
      <c r="C112" s="212"/>
    </row>
    <row r="113" spans="2:3" x14ac:dyDescent="0.35">
      <c r="B113" s="212"/>
      <c r="C113" s="212"/>
    </row>
    <row r="114" spans="2:3" x14ac:dyDescent="0.35">
      <c r="B114" s="212"/>
      <c r="C114" s="212"/>
    </row>
    <row r="115" spans="2:3" x14ac:dyDescent="0.35">
      <c r="B115" s="212"/>
      <c r="C115" s="212"/>
    </row>
    <row r="116" spans="2:3" x14ac:dyDescent="0.35">
      <c r="B116" s="212"/>
      <c r="C116" s="212"/>
    </row>
    <row r="117" spans="2:3" x14ac:dyDescent="0.35">
      <c r="B117" s="212"/>
      <c r="C117" s="212"/>
    </row>
    <row r="118" spans="2:3" x14ac:dyDescent="0.35">
      <c r="B118" s="212"/>
      <c r="C118" s="212"/>
    </row>
    <row r="119" spans="2:3" x14ac:dyDescent="0.35">
      <c r="B119" s="212"/>
      <c r="C119" s="212"/>
    </row>
    <row r="120" spans="2:3" x14ac:dyDescent="0.35">
      <c r="B120" s="212"/>
      <c r="C120" s="212"/>
    </row>
    <row r="121" spans="2:3" x14ac:dyDescent="0.35">
      <c r="B121" s="212"/>
      <c r="C121" s="212"/>
    </row>
    <row r="122" spans="2:3" x14ac:dyDescent="0.35">
      <c r="B122" s="212"/>
      <c r="C122" s="212"/>
    </row>
    <row r="123" spans="2:3" x14ac:dyDescent="0.35">
      <c r="B123" s="212"/>
      <c r="C123" s="212"/>
    </row>
    <row r="124" spans="2:3" x14ac:dyDescent="0.35">
      <c r="B124" s="212"/>
      <c r="C124" s="212"/>
    </row>
    <row r="125" spans="2:3" x14ac:dyDescent="0.35">
      <c r="B125" s="212"/>
      <c r="C125" s="212"/>
    </row>
    <row r="126" spans="2:3" x14ac:dyDescent="0.35">
      <c r="B126" s="212"/>
      <c r="C126" s="212"/>
    </row>
    <row r="127" spans="2:3" x14ac:dyDescent="0.35">
      <c r="B127" s="212"/>
      <c r="C127" s="212"/>
    </row>
    <row r="128" spans="2:3" x14ac:dyDescent="0.35">
      <c r="B128" s="212"/>
      <c r="C128" s="212"/>
    </row>
    <row r="129" spans="2:3" x14ac:dyDescent="0.35">
      <c r="B129" s="212"/>
      <c r="C129" s="212"/>
    </row>
    <row r="130" spans="2:3" x14ac:dyDescent="0.35">
      <c r="B130" s="212"/>
      <c r="C130" s="212"/>
    </row>
    <row r="131" spans="2:3" x14ac:dyDescent="0.35">
      <c r="B131" s="212"/>
      <c r="C131" s="212"/>
    </row>
    <row r="132" spans="2:3" x14ac:dyDescent="0.35">
      <c r="B132" s="212"/>
      <c r="C132" s="212"/>
    </row>
    <row r="133" spans="2:3" x14ac:dyDescent="0.35">
      <c r="B133" s="212"/>
      <c r="C133" s="212"/>
    </row>
    <row r="134" spans="2:3" x14ac:dyDescent="0.35">
      <c r="B134" s="212"/>
      <c r="C134" s="212"/>
    </row>
    <row r="135" spans="2:3" x14ac:dyDescent="0.35">
      <c r="B135" s="212"/>
      <c r="C135" s="212"/>
    </row>
    <row r="136" spans="2:3" x14ac:dyDescent="0.35">
      <c r="B136" s="212"/>
      <c r="C136" s="212"/>
    </row>
    <row r="137" spans="2:3" x14ac:dyDescent="0.35">
      <c r="B137" s="212"/>
      <c r="C137" s="212"/>
    </row>
    <row r="138" spans="2:3" x14ac:dyDescent="0.35">
      <c r="B138" s="212"/>
      <c r="C138" s="212"/>
    </row>
    <row r="139" spans="2:3" x14ac:dyDescent="0.35">
      <c r="B139" s="212"/>
      <c r="C139" s="212"/>
    </row>
    <row r="140" spans="2:3" x14ac:dyDescent="0.35">
      <c r="B140" s="212"/>
      <c r="C140" s="212"/>
    </row>
    <row r="141" spans="2:3" x14ac:dyDescent="0.35">
      <c r="B141" s="212"/>
      <c r="C141" s="212"/>
    </row>
    <row r="142" spans="2:3" x14ac:dyDescent="0.35">
      <c r="B142" s="212"/>
      <c r="C142" s="212"/>
    </row>
    <row r="143" spans="2:3" x14ac:dyDescent="0.35">
      <c r="B143" s="212"/>
      <c r="C143" s="212"/>
    </row>
    <row r="144" spans="2:3" x14ac:dyDescent="0.35">
      <c r="B144" s="212"/>
      <c r="C144" s="212"/>
    </row>
    <row r="145" spans="2:3" x14ac:dyDescent="0.35">
      <c r="B145" s="212"/>
      <c r="C145" s="212"/>
    </row>
    <row r="146" spans="2:3" x14ac:dyDescent="0.35">
      <c r="B146" s="212"/>
      <c r="C146" s="212"/>
    </row>
    <row r="147" spans="2:3" x14ac:dyDescent="0.35">
      <c r="B147" s="212"/>
      <c r="C147" s="212"/>
    </row>
    <row r="148" spans="2:3" x14ac:dyDescent="0.35">
      <c r="B148" s="212"/>
      <c r="C148" s="212"/>
    </row>
    <row r="149" spans="2:3" x14ac:dyDescent="0.35">
      <c r="B149" s="212"/>
      <c r="C149" s="212"/>
    </row>
    <row r="150" spans="2:3" x14ac:dyDescent="0.35">
      <c r="B150" s="212"/>
      <c r="C150" s="212"/>
    </row>
    <row r="151" spans="2:3" x14ac:dyDescent="0.35">
      <c r="B151" s="212"/>
      <c r="C151" s="212"/>
    </row>
    <row r="152" spans="2:3" x14ac:dyDescent="0.35">
      <c r="B152" s="212"/>
      <c r="C152" s="212"/>
    </row>
    <row r="153" spans="2:3" x14ac:dyDescent="0.35">
      <c r="B153" s="212"/>
      <c r="C153" s="212"/>
    </row>
    <row r="154" spans="2:3" x14ac:dyDescent="0.35">
      <c r="B154" s="212"/>
      <c r="C154" s="212"/>
    </row>
    <row r="155" spans="2:3" x14ac:dyDescent="0.35">
      <c r="B155" s="212"/>
      <c r="C155" s="212"/>
    </row>
    <row r="156" spans="2:3" x14ac:dyDescent="0.35">
      <c r="B156" s="212"/>
      <c r="C156" s="212"/>
    </row>
    <row r="157" spans="2:3" x14ac:dyDescent="0.35">
      <c r="B157" s="212"/>
      <c r="C157" s="212"/>
    </row>
    <row r="158" spans="2:3" x14ac:dyDescent="0.35">
      <c r="B158" s="212"/>
      <c r="C158" s="212"/>
    </row>
    <row r="159" spans="2:3" x14ac:dyDescent="0.35">
      <c r="B159" s="212"/>
      <c r="C159" s="212"/>
    </row>
    <row r="160" spans="2:3" x14ac:dyDescent="0.35">
      <c r="B160" s="212"/>
      <c r="C160" s="212"/>
    </row>
    <row r="161" spans="2:3" x14ac:dyDescent="0.35">
      <c r="B161" s="212"/>
      <c r="C161" s="212"/>
    </row>
    <row r="162" spans="2:3" x14ac:dyDescent="0.35">
      <c r="B162" s="212"/>
      <c r="C162" s="212"/>
    </row>
    <row r="163" spans="2:3" x14ac:dyDescent="0.35">
      <c r="B163" s="212"/>
      <c r="C163" s="212"/>
    </row>
    <row r="164" spans="2:3" x14ac:dyDescent="0.35">
      <c r="B164" s="212"/>
      <c r="C164" s="212"/>
    </row>
    <row r="165" spans="2:3" x14ac:dyDescent="0.35">
      <c r="B165" s="212"/>
      <c r="C165" s="212"/>
    </row>
    <row r="166" spans="2:3" x14ac:dyDescent="0.35">
      <c r="B166" s="212"/>
      <c r="C166" s="212"/>
    </row>
    <row r="167" spans="2:3" x14ac:dyDescent="0.35">
      <c r="B167" s="212"/>
      <c r="C167" s="212"/>
    </row>
    <row r="168" spans="2:3" x14ac:dyDescent="0.35">
      <c r="B168" s="212"/>
      <c r="C168" s="212"/>
    </row>
    <row r="169" spans="2:3" x14ac:dyDescent="0.35">
      <c r="B169" s="212"/>
      <c r="C169" s="212"/>
    </row>
    <row r="170" spans="2:3" x14ac:dyDescent="0.35">
      <c r="B170" s="212"/>
      <c r="C170" s="212"/>
    </row>
    <row r="171" spans="2:3" x14ac:dyDescent="0.35">
      <c r="B171" s="212"/>
      <c r="C171" s="212"/>
    </row>
    <row r="172" spans="2:3" x14ac:dyDescent="0.35">
      <c r="B172" s="212"/>
      <c r="C172" s="212"/>
    </row>
    <row r="173" spans="2:3" x14ac:dyDescent="0.35">
      <c r="B173" s="212"/>
      <c r="C173" s="212"/>
    </row>
    <row r="174" spans="2:3" x14ac:dyDescent="0.35">
      <c r="B174" s="212"/>
      <c r="C174" s="212"/>
    </row>
    <row r="175" spans="2:3" x14ac:dyDescent="0.35">
      <c r="B175" s="212"/>
      <c r="C175" s="212"/>
    </row>
    <row r="176" spans="2:3" x14ac:dyDescent="0.35">
      <c r="B176" s="212"/>
      <c r="C176" s="212"/>
    </row>
    <row r="177" spans="2:3" x14ac:dyDescent="0.35">
      <c r="B177" s="212"/>
      <c r="C177" s="212"/>
    </row>
    <row r="178" spans="2:3" x14ac:dyDescent="0.35">
      <c r="B178" s="212"/>
      <c r="C178" s="212"/>
    </row>
    <row r="179" spans="2:3" x14ac:dyDescent="0.35">
      <c r="B179" s="212"/>
      <c r="C179" s="212"/>
    </row>
    <row r="180" spans="2:3" x14ac:dyDescent="0.35">
      <c r="B180" s="212"/>
      <c r="C180" s="212"/>
    </row>
    <row r="181" spans="2:3" x14ac:dyDescent="0.35">
      <c r="B181" s="212"/>
      <c r="C181" s="212"/>
    </row>
    <row r="182" spans="2:3" x14ac:dyDescent="0.35">
      <c r="B182" s="212"/>
      <c r="C182" s="212"/>
    </row>
    <row r="183" spans="2:3" x14ac:dyDescent="0.35">
      <c r="B183" s="212"/>
      <c r="C183" s="212"/>
    </row>
    <row r="184" spans="2:3" x14ac:dyDescent="0.35">
      <c r="B184" s="212"/>
      <c r="C184" s="212"/>
    </row>
    <row r="185" spans="2:3" x14ac:dyDescent="0.35">
      <c r="B185" s="212"/>
      <c r="C185" s="212"/>
    </row>
    <row r="186" spans="2:3" x14ac:dyDescent="0.35">
      <c r="B186" s="212"/>
      <c r="C186" s="212"/>
    </row>
    <row r="187" spans="2:3" x14ac:dyDescent="0.35">
      <c r="B187" s="212"/>
      <c r="C187" s="212"/>
    </row>
    <row r="188" spans="2:3" x14ac:dyDescent="0.35">
      <c r="B188" s="212"/>
      <c r="C188" s="212"/>
    </row>
    <row r="189" spans="2:3" x14ac:dyDescent="0.35">
      <c r="B189" s="212"/>
      <c r="C189" s="212"/>
    </row>
    <row r="190" spans="2:3" x14ac:dyDescent="0.35">
      <c r="B190" s="212"/>
      <c r="C190" s="212"/>
    </row>
    <row r="191" spans="2:3" x14ac:dyDescent="0.35">
      <c r="B191" s="212"/>
      <c r="C191" s="212"/>
    </row>
    <row r="192" spans="2:3" x14ac:dyDescent="0.35">
      <c r="B192" s="212"/>
      <c r="C192" s="212"/>
    </row>
    <row r="193" spans="2:3" x14ac:dyDescent="0.35">
      <c r="B193" s="212"/>
      <c r="C193" s="212"/>
    </row>
    <row r="194" spans="2:3" x14ac:dyDescent="0.35">
      <c r="B194" s="212"/>
      <c r="C194" s="212"/>
    </row>
    <row r="195" spans="2:3" x14ac:dyDescent="0.35">
      <c r="B195" s="212"/>
      <c r="C195" s="212"/>
    </row>
    <row r="196" spans="2:3" x14ac:dyDescent="0.35">
      <c r="B196" s="212"/>
      <c r="C196" s="212"/>
    </row>
    <row r="197" spans="2:3" x14ac:dyDescent="0.35">
      <c r="B197" s="212"/>
      <c r="C197" s="212"/>
    </row>
    <row r="198" spans="2:3" x14ac:dyDescent="0.35">
      <c r="B198" s="212"/>
      <c r="C198" s="212"/>
    </row>
    <row r="199" spans="2:3" x14ac:dyDescent="0.35">
      <c r="B199" s="212"/>
      <c r="C199" s="212"/>
    </row>
    <row r="200" spans="2:3" x14ac:dyDescent="0.35">
      <c r="B200" s="212"/>
      <c r="C200" s="212"/>
    </row>
    <row r="201" spans="2:3" x14ac:dyDescent="0.35">
      <c r="B201" s="212"/>
      <c r="C201" s="212"/>
    </row>
    <row r="202" spans="2:3" x14ac:dyDescent="0.35">
      <c r="B202" s="212"/>
      <c r="C202" s="212"/>
    </row>
    <row r="203" spans="2:3" x14ac:dyDescent="0.35">
      <c r="B203" s="212"/>
      <c r="C203" s="212"/>
    </row>
    <row r="204" spans="2:3" x14ac:dyDescent="0.35">
      <c r="B204" s="212"/>
      <c r="C204" s="212"/>
    </row>
    <row r="205" spans="2:3" x14ac:dyDescent="0.35">
      <c r="B205" s="212"/>
      <c r="C205" s="212"/>
    </row>
    <row r="206" spans="2:3" x14ac:dyDescent="0.35">
      <c r="B206" s="212"/>
      <c r="C206" s="212"/>
    </row>
    <row r="207" spans="2:3" x14ac:dyDescent="0.35">
      <c r="B207" s="212"/>
      <c r="C207" s="212"/>
    </row>
    <row r="208" spans="2:3" x14ac:dyDescent="0.35">
      <c r="B208" s="212"/>
      <c r="C208" s="212"/>
    </row>
    <row r="209" spans="2:3" x14ac:dyDescent="0.35">
      <c r="B209" s="212"/>
      <c r="C209" s="212"/>
    </row>
    <row r="210" spans="2:3" x14ac:dyDescent="0.35">
      <c r="B210" s="212"/>
      <c r="C210" s="212"/>
    </row>
    <row r="211" spans="2:3" x14ac:dyDescent="0.35">
      <c r="B211" s="212"/>
      <c r="C211" s="212"/>
    </row>
    <row r="212" spans="2:3" x14ac:dyDescent="0.35">
      <c r="B212" s="212"/>
      <c r="C212" s="212"/>
    </row>
    <row r="213" spans="2:3" x14ac:dyDescent="0.35">
      <c r="B213" s="212"/>
      <c r="C213" s="212"/>
    </row>
    <row r="214" spans="2:3" x14ac:dyDescent="0.35">
      <c r="B214" s="212"/>
      <c r="C214" s="212"/>
    </row>
    <row r="215" spans="2:3" x14ac:dyDescent="0.35">
      <c r="B215" s="212"/>
      <c r="C215" s="212"/>
    </row>
    <row r="216" spans="2:3" x14ac:dyDescent="0.35">
      <c r="B216" s="212"/>
      <c r="C216" s="212"/>
    </row>
    <row r="217" spans="2:3" x14ac:dyDescent="0.35">
      <c r="B217" s="212"/>
      <c r="C217" s="212"/>
    </row>
    <row r="218" spans="2:3" x14ac:dyDescent="0.35">
      <c r="B218" s="212"/>
      <c r="C218" s="212"/>
    </row>
    <row r="219" spans="2:3" x14ac:dyDescent="0.35">
      <c r="B219" s="212"/>
      <c r="C219" s="212"/>
    </row>
    <row r="220" spans="2:3" x14ac:dyDescent="0.35">
      <c r="B220" s="212"/>
      <c r="C220" s="212"/>
    </row>
    <row r="221" spans="2:3" x14ac:dyDescent="0.35">
      <c r="B221" s="212"/>
      <c r="C221" s="212"/>
    </row>
    <row r="222" spans="2:3" x14ac:dyDescent="0.35">
      <c r="B222" s="212"/>
      <c r="C222" s="212"/>
    </row>
    <row r="223" spans="2:3" x14ac:dyDescent="0.35">
      <c r="B223" s="212"/>
      <c r="C223" s="212"/>
    </row>
    <row r="224" spans="2:3" x14ac:dyDescent="0.35">
      <c r="B224" s="212"/>
      <c r="C224" s="212"/>
    </row>
    <row r="225" spans="2:3" x14ac:dyDescent="0.35">
      <c r="B225" s="212"/>
      <c r="C225" s="212"/>
    </row>
    <row r="226" spans="2:3" x14ac:dyDescent="0.35">
      <c r="B226" s="212"/>
      <c r="C226" s="212"/>
    </row>
    <row r="227" spans="2:3" x14ac:dyDescent="0.35">
      <c r="B227" s="212"/>
      <c r="C227" s="212"/>
    </row>
    <row r="228" spans="2:3" x14ac:dyDescent="0.35">
      <c r="B228" s="212"/>
      <c r="C228" s="212"/>
    </row>
    <row r="229" spans="2:3" x14ac:dyDescent="0.35">
      <c r="B229" s="212"/>
      <c r="C229" s="212"/>
    </row>
    <row r="230" spans="2:3" x14ac:dyDescent="0.35">
      <c r="B230" s="212"/>
      <c r="C230" s="212"/>
    </row>
    <row r="231" spans="2:3" x14ac:dyDescent="0.35">
      <c r="B231" s="212"/>
      <c r="C231" s="212"/>
    </row>
    <row r="232" spans="2:3" x14ac:dyDescent="0.35">
      <c r="B232" s="212"/>
      <c r="C232" s="212"/>
    </row>
    <row r="233" spans="2:3" x14ac:dyDescent="0.35">
      <c r="B233" s="212"/>
      <c r="C233" s="212"/>
    </row>
    <row r="234" spans="2:3" x14ac:dyDescent="0.35">
      <c r="B234" s="212"/>
      <c r="C234" s="212"/>
    </row>
    <row r="235" spans="2:3" x14ac:dyDescent="0.35">
      <c r="B235" s="212"/>
      <c r="C235" s="212"/>
    </row>
    <row r="236" spans="2:3" x14ac:dyDescent="0.35">
      <c r="B236" s="212"/>
      <c r="C236" s="212"/>
    </row>
    <row r="237" spans="2:3" x14ac:dyDescent="0.35">
      <c r="B237" s="212"/>
      <c r="C237" s="212"/>
    </row>
    <row r="238" spans="2:3" x14ac:dyDescent="0.35">
      <c r="B238" s="212"/>
      <c r="C238" s="212"/>
    </row>
    <row r="239" spans="2:3" x14ac:dyDescent="0.35">
      <c r="B239" s="212"/>
      <c r="C239" s="212"/>
    </row>
    <row r="240" spans="2:3" x14ac:dyDescent="0.35">
      <c r="B240" s="212"/>
      <c r="C240" s="212"/>
    </row>
    <row r="241" spans="2:3" x14ac:dyDescent="0.35">
      <c r="B241" s="212"/>
      <c r="C241" s="212"/>
    </row>
    <row r="242" spans="2:3" x14ac:dyDescent="0.35">
      <c r="B242" s="212"/>
      <c r="C242" s="212"/>
    </row>
    <row r="243" spans="2:3" x14ac:dyDescent="0.35">
      <c r="B243" s="212"/>
      <c r="C243" s="212"/>
    </row>
    <row r="244" spans="2:3" x14ac:dyDescent="0.35">
      <c r="B244" s="212"/>
      <c r="C244" s="212"/>
    </row>
    <row r="245" spans="2:3" x14ac:dyDescent="0.35">
      <c r="B245" s="212"/>
      <c r="C245" s="212"/>
    </row>
    <row r="246" spans="2:3" x14ac:dyDescent="0.35">
      <c r="B246" s="212"/>
      <c r="C246" s="212"/>
    </row>
    <row r="247" spans="2:3" x14ac:dyDescent="0.35">
      <c r="B247" s="212"/>
      <c r="C247" s="212"/>
    </row>
    <row r="248" spans="2:3" x14ac:dyDescent="0.35">
      <c r="B248" s="212"/>
      <c r="C248" s="212"/>
    </row>
    <row r="249" spans="2:3" x14ac:dyDescent="0.35">
      <c r="B249" s="212"/>
      <c r="C249" s="212"/>
    </row>
    <row r="250" spans="2:3" x14ac:dyDescent="0.35">
      <c r="B250" s="212"/>
      <c r="C250" s="212"/>
    </row>
    <row r="251" spans="2:3" x14ac:dyDescent="0.35">
      <c r="B251" s="212"/>
      <c r="C251" s="212"/>
    </row>
    <row r="252" spans="2:3" x14ac:dyDescent="0.35">
      <c r="B252" s="212"/>
      <c r="C252" s="212"/>
    </row>
    <row r="253" spans="2:3" x14ac:dyDescent="0.35">
      <c r="B253" s="212"/>
      <c r="C253" s="212"/>
    </row>
    <row r="254" spans="2:3" x14ac:dyDescent="0.35">
      <c r="B254" s="212"/>
      <c r="C254" s="212"/>
    </row>
    <row r="255" spans="2:3" x14ac:dyDescent="0.35">
      <c r="B255" s="212"/>
      <c r="C255" s="212"/>
    </row>
    <row r="256" spans="2:3" x14ac:dyDescent="0.35">
      <c r="B256" s="212"/>
      <c r="C256" s="212"/>
    </row>
    <row r="257" spans="2:3" x14ac:dyDescent="0.35">
      <c r="B257" s="212"/>
      <c r="C257" s="212"/>
    </row>
    <row r="258" spans="2:3" x14ac:dyDescent="0.35">
      <c r="B258" s="212"/>
      <c r="C258" s="212"/>
    </row>
    <row r="259" spans="2:3" x14ac:dyDescent="0.35">
      <c r="B259" s="212"/>
      <c r="C259" s="212"/>
    </row>
    <row r="260" spans="2:3" x14ac:dyDescent="0.35">
      <c r="B260" s="212"/>
      <c r="C260" s="212"/>
    </row>
    <row r="261" spans="2:3" x14ac:dyDescent="0.35">
      <c r="B261" s="212"/>
      <c r="C261" s="212"/>
    </row>
    <row r="262" spans="2:3" x14ac:dyDescent="0.35">
      <c r="B262" s="212"/>
      <c r="C262" s="212"/>
    </row>
    <row r="263" spans="2:3" x14ac:dyDescent="0.35">
      <c r="B263" s="212"/>
      <c r="C263" s="212"/>
    </row>
    <row r="264" spans="2:3" x14ac:dyDescent="0.35">
      <c r="B264" s="212"/>
      <c r="C264" s="212"/>
    </row>
    <row r="265" spans="2:3" x14ac:dyDescent="0.35">
      <c r="B265" s="212"/>
      <c r="C265" s="212"/>
    </row>
    <row r="266" spans="2:3" x14ac:dyDescent="0.35">
      <c r="B266" s="212"/>
      <c r="C266" s="212"/>
    </row>
    <row r="267" spans="2:3" x14ac:dyDescent="0.35">
      <c r="B267" s="212"/>
      <c r="C267" s="212"/>
    </row>
    <row r="268" spans="2:3" x14ac:dyDescent="0.35">
      <c r="B268" s="212"/>
      <c r="C268" s="212"/>
    </row>
    <row r="269" spans="2:3" x14ac:dyDescent="0.35">
      <c r="B269" s="212"/>
      <c r="C269" s="212"/>
    </row>
    <row r="270" spans="2:3" x14ac:dyDescent="0.35">
      <c r="B270" s="212"/>
      <c r="C270" s="212"/>
    </row>
    <row r="271" spans="2:3" x14ac:dyDescent="0.35">
      <c r="B271" s="212"/>
      <c r="C271" s="212"/>
    </row>
    <row r="272" spans="2:3" x14ac:dyDescent="0.35">
      <c r="B272" s="212"/>
      <c r="C272" s="212"/>
    </row>
    <row r="273" spans="2:3" x14ac:dyDescent="0.35">
      <c r="B273" s="212"/>
      <c r="C273" s="212"/>
    </row>
    <row r="274" spans="2:3" x14ac:dyDescent="0.35">
      <c r="B274" s="212"/>
      <c r="C274" s="212"/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B4CD-2889-40C9-B3ED-0D83CB0BA3D9}">
  <dimension ref="B3:L26"/>
  <sheetViews>
    <sheetView topLeftCell="A8" workbookViewId="0">
      <selection activeCell="B7" sqref="B7"/>
    </sheetView>
  </sheetViews>
  <sheetFormatPr baseColWidth="10" defaultColWidth="11.453125" defaultRowHeight="12.5" x14ac:dyDescent="0.35"/>
  <cols>
    <col min="1" max="1" width="7.54296875" style="100" customWidth="1"/>
    <col min="2" max="2" width="22" style="100" bestFit="1" customWidth="1"/>
    <col min="3" max="3" width="11.453125" style="100"/>
    <col min="4" max="4" width="19.54296875" style="100" customWidth="1"/>
    <col min="5" max="5" width="11.453125" style="100"/>
    <col min="6" max="6" width="11.54296875" style="100" bestFit="1" customWidth="1"/>
    <col min="7" max="11" width="11.453125" style="100"/>
    <col min="12" max="12" width="13.453125" style="100" bestFit="1" customWidth="1"/>
    <col min="13" max="16384" width="11.453125" style="100"/>
  </cols>
  <sheetData>
    <row r="3" spans="2:12" ht="18" customHeight="1" x14ac:dyDescent="0.35">
      <c r="B3" s="127" t="s">
        <v>66</v>
      </c>
      <c r="C3" s="128" t="s">
        <v>67</v>
      </c>
      <c r="D3" s="128" t="s">
        <v>68</v>
      </c>
      <c r="E3" s="128" t="s">
        <v>72</v>
      </c>
      <c r="F3" s="126" t="s">
        <v>69</v>
      </c>
      <c r="G3" s="98"/>
      <c r="H3" s="131" t="s">
        <v>118</v>
      </c>
      <c r="I3" s="99"/>
      <c r="J3" s="99"/>
    </row>
    <row r="4" spans="2:12" ht="15" customHeight="1" x14ac:dyDescent="0.35">
      <c r="B4" s="125">
        <f>FichaTecnica!B12</f>
        <v>0</v>
      </c>
      <c r="C4" s="124"/>
      <c r="D4" s="124"/>
      <c r="E4" s="101">
        <f>+D4-C4</f>
        <v>0</v>
      </c>
      <c r="F4" s="102">
        <f>(DAYS360(C4,D4,FALSE))/360</f>
        <v>0</v>
      </c>
      <c r="G4" s="103"/>
      <c r="H4" s="99"/>
      <c r="I4" s="99"/>
      <c r="J4" s="99"/>
    </row>
    <row r="5" spans="2:12" x14ac:dyDescent="0.35">
      <c r="B5" s="99" t="s">
        <v>20</v>
      </c>
      <c r="C5" s="104"/>
      <c r="D5" s="99"/>
      <c r="E5" s="103"/>
      <c r="F5" s="103"/>
      <c r="G5" s="103"/>
      <c r="H5" s="99"/>
      <c r="I5" s="99"/>
      <c r="J5" s="99"/>
    </row>
    <row r="6" spans="2:12" ht="18" customHeight="1" x14ac:dyDescent="0.35">
      <c r="B6" s="105" t="s">
        <v>35</v>
      </c>
      <c r="C6" s="127" t="s">
        <v>70</v>
      </c>
      <c r="D6" s="128" t="s">
        <v>71</v>
      </c>
      <c r="E6" s="128" t="s">
        <v>67</v>
      </c>
      <c r="F6" s="128" t="s">
        <v>68</v>
      </c>
      <c r="G6" s="128" t="s">
        <v>72</v>
      </c>
      <c r="H6" s="128" t="s">
        <v>73</v>
      </c>
      <c r="I6" s="128" t="s">
        <v>74</v>
      </c>
      <c r="J6" s="128" t="s">
        <v>75</v>
      </c>
      <c r="K6" s="128" t="s">
        <v>85</v>
      </c>
      <c r="L6" s="126" t="s">
        <v>115</v>
      </c>
    </row>
    <row r="7" spans="2:12" ht="15" customHeight="1" x14ac:dyDescent="0.35">
      <c r="B7" s="106" t="s">
        <v>76</v>
      </c>
      <c r="C7" s="123">
        <v>0</v>
      </c>
      <c r="D7" s="107">
        <f>+$B$4*C7</f>
        <v>0</v>
      </c>
      <c r="E7" s="124"/>
      <c r="F7" s="124"/>
      <c r="G7" s="101">
        <f>+F7-E7</f>
        <v>0</v>
      </c>
      <c r="H7" s="108">
        <v>1.5E-3</v>
      </c>
      <c r="I7" s="109">
        <f t="shared" ref="I7:I12" si="0">+(D7*H7)*G7/365</f>
        <v>0</v>
      </c>
      <c r="J7" s="110">
        <f>IF(C7=0,0,IF(D7*H7&lt;30000,30000,D7*H7))</f>
        <v>0</v>
      </c>
      <c r="K7" s="109">
        <f>J7*0.19</f>
        <v>0</v>
      </c>
      <c r="L7" s="109">
        <f>J7+K7</f>
        <v>0</v>
      </c>
    </row>
    <row r="8" spans="2:12" ht="15" customHeight="1" x14ac:dyDescent="0.35">
      <c r="B8" s="106" t="s">
        <v>77</v>
      </c>
      <c r="C8" s="123">
        <v>0</v>
      </c>
      <c r="D8" s="107">
        <f t="shared" ref="D8:D12" si="1">+$B$4*C8</f>
        <v>0</v>
      </c>
      <c r="E8" s="124"/>
      <c r="F8" s="124"/>
      <c r="G8" s="101">
        <f t="shared" ref="G8:G12" si="2">+F8-E8</f>
        <v>0</v>
      </c>
      <c r="H8" s="108">
        <v>3.0000000000000001E-3</v>
      </c>
      <c r="I8" s="109">
        <f t="shared" si="0"/>
        <v>0</v>
      </c>
      <c r="J8" s="110">
        <f>IF(I8=0,0,IF(I8&lt;30000,30000,I8))</f>
        <v>0</v>
      </c>
      <c r="K8" s="109">
        <f t="shared" ref="K8:K12" si="3">J8*0.19</f>
        <v>0</v>
      </c>
      <c r="L8" s="109">
        <f t="shared" ref="L8:L12" si="4">J8+K8</f>
        <v>0</v>
      </c>
    </row>
    <row r="9" spans="2:12" ht="15" customHeight="1" x14ac:dyDescent="0.35">
      <c r="B9" s="111" t="s">
        <v>78</v>
      </c>
      <c r="C9" s="123">
        <v>0</v>
      </c>
      <c r="D9" s="107">
        <f t="shared" si="1"/>
        <v>0</v>
      </c>
      <c r="E9" s="124"/>
      <c r="F9" s="124"/>
      <c r="G9" s="101">
        <f t="shared" si="2"/>
        <v>0</v>
      </c>
      <c r="H9" s="108">
        <v>3.0000000000000001E-3</v>
      </c>
      <c r="I9" s="109">
        <f t="shared" si="0"/>
        <v>0</v>
      </c>
      <c r="J9" s="110">
        <f>IF(I9=0,0,IF(I9&lt;30000,30000,I9))</f>
        <v>0</v>
      </c>
      <c r="K9" s="109">
        <f t="shared" si="3"/>
        <v>0</v>
      </c>
      <c r="L9" s="109">
        <f t="shared" si="4"/>
        <v>0</v>
      </c>
    </row>
    <row r="10" spans="2:12" ht="15" customHeight="1" x14ac:dyDescent="0.35">
      <c r="B10" s="106" t="s">
        <v>79</v>
      </c>
      <c r="C10" s="123">
        <v>0</v>
      </c>
      <c r="D10" s="107">
        <f t="shared" si="1"/>
        <v>0</v>
      </c>
      <c r="E10" s="124"/>
      <c r="F10" s="124"/>
      <c r="G10" s="101">
        <f t="shared" si="2"/>
        <v>0</v>
      </c>
      <c r="H10" s="108">
        <v>2.5000000000000001E-3</v>
      </c>
      <c r="I10" s="109">
        <f t="shared" si="0"/>
        <v>0</v>
      </c>
      <c r="J10" s="110">
        <f>IF(I10=0,0,IF(I10&lt;30000,30000,I10))</f>
        <v>0</v>
      </c>
      <c r="K10" s="109">
        <f t="shared" si="3"/>
        <v>0</v>
      </c>
      <c r="L10" s="109">
        <f t="shared" si="4"/>
        <v>0</v>
      </c>
    </row>
    <row r="11" spans="2:12" ht="15" customHeight="1" x14ac:dyDescent="0.35">
      <c r="B11" s="106" t="s">
        <v>80</v>
      </c>
      <c r="C11" s="123">
        <v>0</v>
      </c>
      <c r="D11" s="107">
        <f t="shared" si="1"/>
        <v>0</v>
      </c>
      <c r="E11" s="124"/>
      <c r="F11" s="124"/>
      <c r="G11" s="101">
        <f t="shared" si="2"/>
        <v>0</v>
      </c>
      <c r="H11" s="108">
        <v>3.0000000000000001E-3</v>
      </c>
      <c r="I11" s="109">
        <f t="shared" si="0"/>
        <v>0</v>
      </c>
      <c r="J11" s="110">
        <f>IF(I11=0,0,IF(I11&lt;30000,30000,I11))</f>
        <v>0</v>
      </c>
      <c r="K11" s="109">
        <f t="shared" si="3"/>
        <v>0</v>
      </c>
      <c r="L11" s="109">
        <f t="shared" si="4"/>
        <v>0</v>
      </c>
    </row>
    <row r="12" spans="2:12" ht="15" customHeight="1" x14ac:dyDescent="0.35">
      <c r="B12" s="111" t="s">
        <v>81</v>
      </c>
      <c r="C12" s="123">
        <v>0</v>
      </c>
      <c r="D12" s="107">
        <f t="shared" si="1"/>
        <v>0</v>
      </c>
      <c r="E12" s="124"/>
      <c r="F12" s="124"/>
      <c r="G12" s="101">
        <f t="shared" si="2"/>
        <v>0</v>
      </c>
      <c r="H12" s="108">
        <v>3.0000000000000001E-3</v>
      </c>
      <c r="I12" s="109">
        <f t="shared" si="0"/>
        <v>0</v>
      </c>
      <c r="J12" s="110">
        <f>IF(I12=0,0,IF(I12&lt;30000,30000,I12))</f>
        <v>0</v>
      </c>
      <c r="K12" s="109">
        <f t="shared" si="3"/>
        <v>0</v>
      </c>
      <c r="L12" s="109">
        <f t="shared" si="4"/>
        <v>0</v>
      </c>
    </row>
    <row r="13" spans="2:12" s="112" customFormat="1" ht="15" customHeight="1" x14ac:dyDescent="0.35">
      <c r="I13" s="113" t="s">
        <v>116</v>
      </c>
      <c r="J13" s="114">
        <f>SUM(J7:J12)</f>
        <v>0</v>
      </c>
      <c r="K13" s="114">
        <f>SUM(K7:K12)</f>
        <v>0</v>
      </c>
      <c r="L13" s="114">
        <f>SUM(L7:L12)</f>
        <v>0</v>
      </c>
    </row>
    <row r="14" spans="2:12" s="112" customFormat="1" ht="15" customHeight="1" x14ac:dyDescent="0.35">
      <c r="C14" s="117" t="s">
        <v>117</v>
      </c>
      <c r="D14" s="118">
        <f>SUM(D7:D12)</f>
        <v>0</v>
      </c>
    </row>
    <row r="15" spans="2:12" ht="15" customHeight="1" x14ac:dyDescent="0.35">
      <c r="B15" s="99"/>
      <c r="C15" s="99"/>
      <c r="D15" s="115"/>
      <c r="E15" s="99"/>
      <c r="F15" s="99"/>
      <c r="G15" s="99"/>
      <c r="J15" s="207" t="s">
        <v>82</v>
      </c>
      <c r="K15" s="207"/>
      <c r="L15" s="106">
        <f>SUM(L7:L12)</f>
        <v>0</v>
      </c>
    </row>
    <row r="16" spans="2:12" ht="15" customHeight="1" x14ac:dyDescent="0.35">
      <c r="B16" s="99"/>
      <c r="E16" s="99"/>
      <c r="F16" s="99"/>
      <c r="G16" s="99"/>
      <c r="J16" s="207" t="s">
        <v>84</v>
      </c>
      <c r="K16" s="207"/>
      <c r="L16" s="106"/>
    </row>
    <row r="17" spans="2:12" ht="15" customHeight="1" x14ac:dyDescent="0.35">
      <c r="B17" s="99"/>
      <c r="C17" s="99"/>
      <c r="D17" s="99"/>
      <c r="E17" s="99"/>
      <c r="F17" s="99"/>
      <c r="G17" s="99"/>
      <c r="J17" s="207" t="s">
        <v>85</v>
      </c>
      <c r="K17" s="207"/>
      <c r="L17" s="106">
        <f>(J13+L16)*19%</f>
        <v>0</v>
      </c>
    </row>
    <row r="18" spans="2:12" ht="15" customHeight="1" x14ac:dyDescent="0.35">
      <c r="B18" s="99"/>
      <c r="C18" s="99"/>
      <c r="D18" s="99"/>
      <c r="E18" s="99"/>
      <c r="F18" s="99"/>
      <c r="G18" s="99"/>
      <c r="J18" s="206" t="s">
        <v>83</v>
      </c>
      <c r="K18" s="206"/>
      <c r="L18" s="119">
        <f>+J13+L16+L17</f>
        <v>0</v>
      </c>
    </row>
    <row r="19" spans="2:12" x14ac:dyDescent="0.35">
      <c r="B19" s="99"/>
      <c r="C19" s="99"/>
      <c r="D19" s="99"/>
      <c r="E19" s="99"/>
      <c r="F19" s="99"/>
      <c r="G19" s="99"/>
      <c r="H19" s="99"/>
      <c r="I19" s="104"/>
      <c r="J19" s="99"/>
    </row>
    <row r="20" spans="2:12" ht="18" customHeight="1" x14ac:dyDescent="0.35">
      <c r="B20" s="127" t="s">
        <v>86</v>
      </c>
      <c r="C20" s="128" t="s">
        <v>70</v>
      </c>
      <c r="D20" s="128" t="s">
        <v>71</v>
      </c>
      <c r="E20" s="128" t="s">
        <v>67</v>
      </c>
      <c r="F20" s="128" t="s">
        <v>68</v>
      </c>
      <c r="G20" s="128" t="s">
        <v>72</v>
      </c>
      <c r="H20" s="128" t="s">
        <v>73</v>
      </c>
      <c r="I20" s="128" t="s">
        <v>74</v>
      </c>
      <c r="J20" s="126" t="s">
        <v>75</v>
      </c>
    </row>
    <row r="21" spans="2:12" ht="15" customHeight="1" x14ac:dyDescent="0.35">
      <c r="B21" s="111" t="s">
        <v>87</v>
      </c>
      <c r="C21" s="129">
        <v>0</v>
      </c>
      <c r="D21" s="107"/>
      <c r="E21" s="124"/>
      <c r="F21" s="130"/>
      <c r="G21" s="101">
        <f>F21-E21</f>
        <v>0</v>
      </c>
      <c r="H21" s="108">
        <v>3.0000000000000001E-3</v>
      </c>
      <c r="I21" s="120">
        <f>+(D21*H21)*G21/365</f>
        <v>0</v>
      </c>
      <c r="J21" s="106">
        <f>IF(I21=0,0,IF(I21&lt;50000,50000,I21))</f>
        <v>0</v>
      </c>
    </row>
    <row r="22" spans="2:12" ht="15" customHeight="1" x14ac:dyDescent="0.35">
      <c r="B22" s="99"/>
      <c r="C22" s="99"/>
      <c r="D22" s="99"/>
      <c r="E22" s="99"/>
      <c r="F22" s="99"/>
      <c r="G22" s="99"/>
      <c r="H22" s="207" t="s">
        <v>82</v>
      </c>
      <c r="I22" s="207"/>
      <c r="J22" s="106">
        <f>+J21</f>
        <v>0</v>
      </c>
    </row>
    <row r="23" spans="2:12" ht="15" customHeight="1" x14ac:dyDescent="0.35">
      <c r="B23" s="116" t="s">
        <v>109</v>
      </c>
      <c r="C23" s="121" t="str">
        <f>IF(D21&lt;=10000000,"10% mínimo 1 SMMLV",IF(AND(D21&gt;10000000,D21&lt;=30000000),"10% mínimo 2 SMMLV",IF(AND(D21&gt;30000000,D21&lt;=50000000),"10% mínimo 3 SMMLV","15% mínimo 3 SMMLV")))</f>
        <v>10% mínimo 1 SMMLV</v>
      </c>
      <c r="D23" s="106"/>
      <c r="E23" s="99"/>
      <c r="F23" s="99"/>
      <c r="G23" s="99"/>
      <c r="H23" s="207" t="s">
        <v>85</v>
      </c>
      <c r="I23" s="207"/>
      <c r="J23" s="106">
        <f>+J22*19%</f>
        <v>0</v>
      </c>
    </row>
    <row r="24" spans="2:12" ht="15" customHeight="1" x14ac:dyDescent="0.35">
      <c r="B24" s="99"/>
      <c r="C24" s="99"/>
      <c r="D24" s="99"/>
      <c r="E24" s="99"/>
      <c r="F24" s="99"/>
      <c r="G24" s="99"/>
      <c r="H24" s="206" t="s">
        <v>83</v>
      </c>
      <c r="I24" s="206"/>
      <c r="J24" s="119">
        <f>+J22+J23</f>
        <v>0</v>
      </c>
    </row>
    <row r="25" spans="2:12" ht="15" customHeight="1" x14ac:dyDescent="0.35">
      <c r="B25" s="99"/>
      <c r="C25" s="99"/>
      <c r="D25" s="99"/>
      <c r="E25" s="99"/>
      <c r="F25" s="99"/>
      <c r="G25" s="99"/>
      <c r="H25" s="99"/>
      <c r="I25" s="99"/>
      <c r="J25" s="99"/>
    </row>
    <row r="26" spans="2:12" ht="15" customHeight="1" x14ac:dyDescent="0.35">
      <c r="B26" s="122"/>
      <c r="C26" s="99"/>
      <c r="D26" s="99"/>
      <c r="E26" s="99"/>
      <c r="F26" s="99"/>
      <c r="G26" s="99"/>
      <c r="H26" s="99"/>
      <c r="I26" s="99"/>
      <c r="J26" s="119">
        <f>L18+J24</f>
        <v>0</v>
      </c>
    </row>
  </sheetData>
  <mergeCells count="7">
    <mergeCell ref="H24:I24"/>
    <mergeCell ref="J15:K15"/>
    <mergeCell ref="J16:K16"/>
    <mergeCell ref="J17:K17"/>
    <mergeCell ref="J18:K18"/>
    <mergeCell ref="H22:I22"/>
    <mergeCell ref="H23:I23"/>
  </mergeCells>
  <dataValidations count="4">
    <dataValidation allowBlank="1" showInputMessage="1" showErrorMessage="1" errorTitle="Error" error="No puede superar el 5%_x000a_" sqref="C10" xr:uid="{28053334-2A98-4F5B-988C-B0F613BEF2EC}"/>
    <dataValidation type="custom" allowBlank="1" showInputMessage="1" showErrorMessage="1" errorTitle="Error" error="No puede superar el 50%" sqref="C9 C11:C14" xr:uid="{59F53157-A975-429A-902B-10835A262141}">
      <formula1>C9&lt;=50%</formula1>
    </dataValidation>
    <dataValidation allowBlank="1" showInputMessage="1" showErrorMessage="1" errorTitle="Error " error="No puede superar el 10%" sqref="C8" xr:uid="{A3B86BA4-FF2C-4267-B201-10DBB2ECCB35}"/>
    <dataValidation type="custom" allowBlank="1" showInputMessage="1" showErrorMessage="1" errorTitle="Error" error="No puede superar el 10%" sqref="C7" xr:uid="{A12ACD37-5E53-418B-A365-16A37A13093B}">
      <formula1>C7&lt;=10%</formula1>
    </dataValidation>
  </dataValidations>
  <pageMargins left="0.7" right="0.7" top="0.75" bottom="0.75" header="0.3" footer="0.3"/>
  <ignoredErrors>
    <ignoredError sqref="F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6303-A790-4D7A-BEEE-5D9D859414C6}">
  <dimension ref="A1:G19"/>
  <sheetViews>
    <sheetView showGridLines="0" zoomScaleNormal="100" workbookViewId="0">
      <selection activeCell="B17" sqref="B17"/>
    </sheetView>
  </sheetViews>
  <sheetFormatPr baseColWidth="10" defaultRowHeight="14.5" x14ac:dyDescent="0.35"/>
  <cols>
    <col min="1" max="1" width="28.81640625" bestFit="1" customWidth="1"/>
    <col min="2" max="2" width="17.453125" customWidth="1"/>
    <col min="3" max="3" width="13.1796875" customWidth="1"/>
    <col min="4" max="4" width="28.81640625" bestFit="1" customWidth="1"/>
    <col min="5" max="5" width="16.81640625" customWidth="1"/>
    <col min="6" max="6" width="12.1796875" bestFit="1" customWidth="1"/>
  </cols>
  <sheetData>
    <row r="1" spans="1:7" ht="23.5" x14ac:dyDescent="0.55000000000000004">
      <c r="A1" s="176" t="s">
        <v>151</v>
      </c>
    </row>
    <row r="3" spans="1:7" x14ac:dyDescent="0.35">
      <c r="A3" s="177" t="s">
        <v>152</v>
      </c>
      <c r="D3" s="177" t="s">
        <v>153</v>
      </c>
      <c r="E3" s="178"/>
    </row>
    <row r="4" spans="1:7" ht="15" thickBot="1" x14ac:dyDescent="0.4">
      <c r="E4" s="179"/>
      <c r="F4" s="179"/>
    </row>
    <row r="5" spans="1:7" ht="15" thickBot="1" x14ac:dyDescent="0.4">
      <c r="A5" t="s">
        <v>154</v>
      </c>
      <c r="B5" s="180">
        <f>FichaTecnica!B12</f>
        <v>0</v>
      </c>
      <c r="C5" s="181"/>
    </row>
    <row r="6" spans="1:7" x14ac:dyDescent="0.35">
      <c r="B6" s="181"/>
      <c r="C6" s="181"/>
    </row>
    <row r="7" spans="1:7" x14ac:dyDescent="0.35">
      <c r="A7" t="s">
        <v>164</v>
      </c>
      <c r="B7" s="181">
        <v>0</v>
      </c>
      <c r="C7" s="182"/>
    </row>
    <row r="8" spans="1:7" x14ac:dyDescent="0.35">
      <c r="A8" t="s">
        <v>165</v>
      </c>
      <c r="B8" s="181">
        <v>0</v>
      </c>
      <c r="C8" s="182"/>
    </row>
    <row r="9" spans="1:7" x14ac:dyDescent="0.35">
      <c r="A9" t="s">
        <v>166</v>
      </c>
      <c r="B9" s="183">
        <v>0</v>
      </c>
      <c r="C9" s="182"/>
    </row>
    <row r="10" spans="1:7" x14ac:dyDescent="0.35">
      <c r="A10" t="s">
        <v>167</v>
      </c>
      <c r="B10" s="183">
        <v>0</v>
      </c>
      <c r="C10" s="182"/>
    </row>
    <row r="11" spans="1:7" ht="15" thickBot="1" x14ac:dyDescent="0.4">
      <c r="A11" t="s">
        <v>168</v>
      </c>
      <c r="B11" s="183">
        <v>0</v>
      </c>
      <c r="C11" s="182"/>
    </row>
    <row r="12" spans="1:7" ht="15" thickBot="1" x14ac:dyDescent="0.4">
      <c r="A12" t="s">
        <v>155</v>
      </c>
      <c r="B12" s="183">
        <v>0</v>
      </c>
      <c r="C12" s="181"/>
      <c r="D12" s="184" t="s">
        <v>156</v>
      </c>
      <c r="E12" s="185">
        <f>_xlfn.STDEV.S(B7:B16)</f>
        <v>0</v>
      </c>
    </row>
    <row r="13" spans="1:7" ht="15" thickBot="1" x14ac:dyDescent="0.4">
      <c r="A13" t="s">
        <v>157</v>
      </c>
      <c r="B13" s="183">
        <v>0</v>
      </c>
      <c r="C13" s="181"/>
      <c r="D13" s="184" t="s">
        <v>158</v>
      </c>
      <c r="E13" s="186">
        <f>MEDIAN(B7:B16)</f>
        <v>0</v>
      </c>
    </row>
    <row r="14" spans="1:7" x14ac:dyDescent="0.35">
      <c r="A14" t="s">
        <v>159</v>
      </c>
      <c r="B14" s="181">
        <v>0</v>
      </c>
    </row>
    <row r="15" spans="1:7" x14ac:dyDescent="0.35">
      <c r="A15" t="s">
        <v>160</v>
      </c>
      <c r="B15" s="181">
        <v>0</v>
      </c>
      <c r="D15" s="208" t="s">
        <v>161</v>
      </c>
      <c r="E15" s="208"/>
      <c r="F15" s="208"/>
      <c r="G15" s="208"/>
    </row>
    <row r="16" spans="1:7" ht="21" x14ac:dyDescent="0.5">
      <c r="A16" t="s">
        <v>162</v>
      </c>
      <c r="B16" s="181">
        <v>0</v>
      </c>
      <c r="D16" s="209">
        <f>E13-E12</f>
        <v>0</v>
      </c>
      <c r="E16" s="209"/>
      <c r="F16" s="209"/>
      <c r="G16" s="209"/>
    </row>
    <row r="19" spans="7:7" x14ac:dyDescent="0.35">
      <c r="G19" t="s">
        <v>163</v>
      </c>
    </row>
  </sheetData>
  <mergeCells count="2">
    <mergeCell ref="D15:G15"/>
    <mergeCell ref="D16:G16"/>
  </mergeCells>
  <phoneticPr fontId="20" type="noConversion"/>
  <conditionalFormatting sqref="B7:B16">
    <cfRule type="cellIs" dxfId="22" priority="1" operator="lessThan">
      <formula>$D$16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5350-7623-4916-A272-978C534957F9}">
  <dimension ref="A1:T56"/>
  <sheetViews>
    <sheetView workbookViewId="0">
      <selection activeCell="A20" sqref="A20"/>
    </sheetView>
  </sheetViews>
  <sheetFormatPr baseColWidth="10" defaultColWidth="9.453125" defaultRowHeight="12.5" x14ac:dyDescent="0.35"/>
  <cols>
    <col min="1" max="1" width="38.54296875" style="6" customWidth="1"/>
    <col min="2" max="2" width="24" style="6" bestFit="1" customWidth="1"/>
    <col min="3" max="3" width="3.54296875" style="14" customWidth="1"/>
    <col min="4" max="5" width="4.54296875" style="6" customWidth="1"/>
    <col min="6" max="6" width="19.453125" style="6" customWidth="1"/>
    <col min="7" max="7" width="17.54296875" style="6" customWidth="1"/>
    <col min="8" max="10" width="22.54296875" style="6" customWidth="1"/>
    <col min="11" max="11" width="26.54296875" style="6" customWidth="1"/>
    <col min="12" max="14" width="9.453125" style="6"/>
    <col min="15" max="15" width="19.54296875" style="6" bestFit="1" customWidth="1"/>
    <col min="16" max="16384" width="9.453125" style="6"/>
  </cols>
  <sheetData>
    <row r="1" spans="1:20" x14ac:dyDescent="0.35">
      <c r="A1" s="69"/>
      <c r="B1" s="69"/>
      <c r="C1" s="61"/>
      <c r="D1" s="69"/>
      <c r="E1" s="69"/>
      <c r="F1" s="69"/>
      <c r="G1" s="69"/>
      <c r="H1" s="69"/>
      <c r="I1" s="69"/>
      <c r="J1" s="69"/>
      <c r="K1" s="69"/>
    </row>
    <row r="2" spans="1:20" s="14" customFormat="1" ht="18" customHeight="1" x14ac:dyDescent="0.35">
      <c r="A2" s="61"/>
      <c r="B2" s="61"/>
      <c r="C2" s="61"/>
      <c r="D2" s="61"/>
      <c r="E2" s="61"/>
      <c r="F2" s="91" t="s">
        <v>88</v>
      </c>
      <c r="G2" s="90"/>
      <c r="H2" s="61"/>
      <c r="I2" s="61"/>
      <c r="J2" s="61"/>
      <c r="K2" s="61"/>
    </row>
    <row r="3" spans="1:20" x14ac:dyDescent="0.35">
      <c r="A3" s="70"/>
      <c r="B3" s="90" t="s">
        <v>89</v>
      </c>
      <c r="C3" s="94"/>
      <c r="D3" s="70"/>
      <c r="E3" s="70"/>
      <c r="F3" s="70"/>
      <c r="G3" s="70"/>
      <c r="H3" s="70"/>
      <c r="I3" s="70"/>
      <c r="J3" s="70"/>
      <c r="K3" s="70"/>
      <c r="O3" s="71"/>
    </row>
    <row r="4" spans="1:20" ht="25" x14ac:dyDescent="0.35">
      <c r="A4" s="65" t="s">
        <v>90</v>
      </c>
      <c r="B4" s="89">
        <f>FichaTecnica!B12</f>
        <v>0</v>
      </c>
      <c r="C4" s="66"/>
      <c r="D4" s="66"/>
      <c r="E4" s="66"/>
      <c r="F4" s="67" t="s">
        <v>91</v>
      </c>
      <c r="G4" s="67" t="s">
        <v>92</v>
      </c>
      <c r="H4" s="67" t="s">
        <v>93</v>
      </c>
      <c r="I4" s="67" t="s">
        <v>94</v>
      </c>
      <c r="J4" s="67" t="s">
        <v>95</v>
      </c>
      <c r="K4" s="68" t="s">
        <v>96</v>
      </c>
      <c r="L4" s="72"/>
      <c r="M4" s="72"/>
      <c r="N4" s="72"/>
      <c r="O4" s="73"/>
      <c r="P4" s="72"/>
      <c r="Q4" s="72"/>
      <c r="R4" s="72"/>
      <c r="S4" s="72"/>
      <c r="T4" s="72"/>
    </row>
    <row r="5" spans="1:20" x14ac:dyDescent="0.35">
      <c r="A5" s="63"/>
      <c r="B5" s="64"/>
      <c r="C5" s="95"/>
      <c r="D5" s="74"/>
      <c r="E5" s="74"/>
      <c r="F5" s="62">
        <f>AVERAGEIF(C6:C14,"x",B6:B14)</f>
        <v>0</v>
      </c>
      <c r="G5" s="62" t="e">
        <f>HARMEAN(B6,B7,B8,B9,B10,B11,B12,B13,B14)</f>
        <v>#NUM!</v>
      </c>
      <c r="H5" s="62" t="e">
        <f>GEOMEAN(B8,B10,B11,B12,B13,B14,B9,B6,B7)</f>
        <v>#NUM!</v>
      </c>
      <c r="I5" s="75" cm="1">
        <f t="array" ref="I5">MIN(IF(C6:C14="x",B6:B14))</f>
        <v>0</v>
      </c>
      <c r="J5" s="76" cm="1">
        <f t="array" ref="J5">(MAX(IF(C6:C14="x",MAX(B6:B14)+(AVERAGEIF(C6:C14,"x",B6:B14))))/2)</f>
        <v>0</v>
      </c>
      <c r="K5" s="133" t="e">
        <f>GEOMEAN(B4,B9,B10,B11,B12,B13,B14,B8,B6,B7)</f>
        <v>#NUM!</v>
      </c>
      <c r="O5" s="71"/>
    </row>
    <row r="6" spans="1:20" x14ac:dyDescent="0.35">
      <c r="A6" s="77" t="s">
        <v>97</v>
      </c>
      <c r="B6" s="78">
        <f>+B$4*(1-D6)</f>
        <v>0</v>
      </c>
      <c r="C6" s="96" t="s">
        <v>119</v>
      </c>
      <c r="D6" s="79">
        <v>0.01</v>
      </c>
      <c r="E6" s="77"/>
      <c r="F6" s="80" t="e">
        <f>IF(B6&lt;=$F$5,$G$2*(1-(($F$5-B6)/$F$5)),$G$2*(1-(2*(ABS($F$5-B6)/$F$5))))</f>
        <v>#DIV/0!</v>
      </c>
      <c r="G6" s="80" t="e">
        <f t="shared" ref="G6:G14" si="0">IF(B6&lt;=$G$5,$G$2*(1-(($G$5-B6)/$G$5)),$G$2*(1-(2*(ABS($G$5-B6)/$G$5))))</f>
        <v>#NUM!</v>
      </c>
      <c r="H6" s="80" t="e">
        <f t="shared" ref="H6:H14" si="1">IF(B6&lt;=$H$5,$G$2*(1-(($H$5-B6)/$H$5)),$G$2*(1-(2*(ABS($H$5-B6)/$H$5))))</f>
        <v>#NUM!</v>
      </c>
      <c r="I6" s="81" t="e">
        <f>IF(B6&lt;=$I$5,$G$2*(1-(($I$5-B6)/$I$5)),$G$2*(1-(2*(ABS($I$5-B6)/$I$5))))</f>
        <v>#DIV/0!</v>
      </c>
      <c r="J6" s="93" t="e">
        <f t="shared" ref="J6:J12" si="2">IF(B6&lt;=$J$5,$G$2*(1-(($J$5-B6)/$J$5)),$G$2*(1-2*(ABS($J$5-B6)/$J$5)))</f>
        <v>#DIV/0!</v>
      </c>
      <c r="K6" s="81" t="e">
        <f>IF(B6&lt;=$K$5,(1-(($K$5-B6)/$K$5))*$G$2,(1-2*(ABS($K$5-B6))/$K$5)*$G$2)</f>
        <v>#NUM!</v>
      </c>
    </row>
    <row r="7" spans="1:20" x14ac:dyDescent="0.35">
      <c r="A7" s="77" t="s">
        <v>45</v>
      </c>
      <c r="B7" s="78">
        <f>+B$4*(1-D7)</f>
        <v>0</v>
      </c>
      <c r="C7" s="96" t="s">
        <v>98</v>
      </c>
      <c r="D7" s="79">
        <v>0.02</v>
      </c>
      <c r="E7" s="79"/>
      <c r="F7" s="80" t="e">
        <f t="shared" ref="F7:F14" si="3">IF(B7&lt;=$F$5,$G$2*(1-(($F$5-B7)/$F$5)),$G$2*(1-(2*(ABS($F$5-B7)/$F$5))))</f>
        <v>#DIV/0!</v>
      </c>
      <c r="G7" s="80" t="e">
        <f t="shared" si="0"/>
        <v>#NUM!</v>
      </c>
      <c r="H7" s="80" t="e">
        <f t="shared" si="1"/>
        <v>#NUM!</v>
      </c>
      <c r="I7" s="81" t="e">
        <f t="shared" ref="I7:I13" si="4">IF(B7&lt;=$I$5,$G$2*(1-(($I$5-B7)/$I$5)),$G$2*(1-(2*(ABS($I$5-B7)/$I$5))))</f>
        <v>#DIV/0!</v>
      </c>
      <c r="J7" s="93" t="e">
        <f t="shared" si="2"/>
        <v>#DIV/0!</v>
      </c>
      <c r="K7" s="81" t="e">
        <f t="shared" ref="K7:K14" si="5">IF(B7&lt;=$K$5,(1-(($K$5-B7)/$K$5))*$G$2,(1-2*(ABS($K$5-B7))/$K$5)*$G$2)</f>
        <v>#NUM!</v>
      </c>
    </row>
    <row r="8" spans="1:20" x14ac:dyDescent="0.35">
      <c r="A8" s="77" t="s">
        <v>99</v>
      </c>
      <c r="B8" s="78">
        <f>+B$4*(1-D8)</f>
        <v>0</v>
      </c>
      <c r="C8" s="96" t="s">
        <v>98</v>
      </c>
      <c r="D8" s="79">
        <v>0.03</v>
      </c>
      <c r="E8" s="79"/>
      <c r="F8" s="80" t="e">
        <f t="shared" si="3"/>
        <v>#DIV/0!</v>
      </c>
      <c r="G8" s="80" t="e">
        <f t="shared" si="0"/>
        <v>#NUM!</v>
      </c>
      <c r="H8" s="80" t="e">
        <f t="shared" si="1"/>
        <v>#NUM!</v>
      </c>
      <c r="I8" s="81" t="e">
        <f t="shared" si="4"/>
        <v>#DIV/0!</v>
      </c>
      <c r="J8" s="93" t="e">
        <f t="shared" si="2"/>
        <v>#DIV/0!</v>
      </c>
      <c r="K8" s="81" t="e">
        <f t="shared" si="5"/>
        <v>#NUM!</v>
      </c>
    </row>
    <row r="9" spans="1:20" x14ac:dyDescent="0.35">
      <c r="A9" s="77" t="s">
        <v>100</v>
      </c>
      <c r="B9" s="78">
        <f t="shared" ref="B9:B12" si="6">+B$4*(1-D9)</f>
        <v>0</v>
      </c>
      <c r="C9" s="96" t="s">
        <v>98</v>
      </c>
      <c r="D9" s="79">
        <v>0.04</v>
      </c>
      <c r="E9" s="79"/>
      <c r="F9" s="80" t="e">
        <f t="shared" si="3"/>
        <v>#DIV/0!</v>
      </c>
      <c r="G9" s="80" t="e">
        <f t="shared" si="0"/>
        <v>#NUM!</v>
      </c>
      <c r="H9" s="80" t="e">
        <f t="shared" si="1"/>
        <v>#NUM!</v>
      </c>
      <c r="I9" s="81" t="e">
        <f t="shared" si="4"/>
        <v>#DIV/0!</v>
      </c>
      <c r="J9" s="93" t="e">
        <f t="shared" si="2"/>
        <v>#DIV/0!</v>
      </c>
      <c r="K9" s="81" t="e">
        <f t="shared" si="5"/>
        <v>#NUM!</v>
      </c>
      <c r="O9" s="82"/>
    </row>
    <row r="10" spans="1:20" x14ac:dyDescent="0.35">
      <c r="A10" s="77" t="s">
        <v>101</v>
      </c>
      <c r="B10" s="78">
        <f t="shared" si="6"/>
        <v>0</v>
      </c>
      <c r="C10" s="96" t="s">
        <v>98</v>
      </c>
      <c r="D10" s="79">
        <v>0.05</v>
      </c>
      <c r="E10" s="79"/>
      <c r="F10" s="80" t="e">
        <f t="shared" si="3"/>
        <v>#DIV/0!</v>
      </c>
      <c r="G10" s="80" t="e">
        <f t="shared" si="0"/>
        <v>#NUM!</v>
      </c>
      <c r="H10" s="80" t="e">
        <f t="shared" si="1"/>
        <v>#NUM!</v>
      </c>
      <c r="I10" s="81" t="e">
        <f t="shared" si="4"/>
        <v>#DIV/0!</v>
      </c>
      <c r="J10" s="93" t="e">
        <f t="shared" si="2"/>
        <v>#DIV/0!</v>
      </c>
      <c r="K10" s="81" t="e">
        <f t="shared" si="5"/>
        <v>#NUM!</v>
      </c>
    </row>
    <row r="11" spans="1:20" x14ac:dyDescent="0.35">
      <c r="A11" s="77" t="s">
        <v>102</v>
      </c>
      <c r="B11" s="78">
        <f t="shared" si="6"/>
        <v>0</v>
      </c>
      <c r="C11" s="96" t="s">
        <v>98</v>
      </c>
      <c r="D11" s="79">
        <v>0.06</v>
      </c>
      <c r="E11" s="79"/>
      <c r="F11" s="80" t="e">
        <f t="shared" si="3"/>
        <v>#DIV/0!</v>
      </c>
      <c r="G11" s="80" t="e">
        <f t="shared" si="0"/>
        <v>#NUM!</v>
      </c>
      <c r="H11" s="80" t="e">
        <f t="shared" si="1"/>
        <v>#NUM!</v>
      </c>
      <c r="I11" s="81" t="e">
        <f t="shared" si="4"/>
        <v>#DIV/0!</v>
      </c>
      <c r="J11" s="93" t="e">
        <f t="shared" si="2"/>
        <v>#DIV/0!</v>
      </c>
      <c r="K11" s="81" t="e">
        <f t="shared" si="5"/>
        <v>#NUM!</v>
      </c>
    </row>
    <row r="12" spans="1:20" x14ac:dyDescent="0.35">
      <c r="A12" s="77" t="s">
        <v>103</v>
      </c>
      <c r="B12" s="78">
        <f t="shared" si="6"/>
        <v>0</v>
      </c>
      <c r="C12" s="96" t="s">
        <v>98</v>
      </c>
      <c r="D12" s="79">
        <v>7.0000000000000007E-2</v>
      </c>
      <c r="E12" s="79"/>
      <c r="F12" s="80" t="e">
        <f t="shared" si="3"/>
        <v>#DIV/0!</v>
      </c>
      <c r="G12" s="83" t="e">
        <f t="shared" si="0"/>
        <v>#NUM!</v>
      </c>
      <c r="H12" s="80" t="e">
        <f t="shared" si="1"/>
        <v>#NUM!</v>
      </c>
      <c r="I12" s="81" t="e">
        <f t="shared" si="4"/>
        <v>#DIV/0!</v>
      </c>
      <c r="J12" s="93" t="e">
        <f t="shared" si="2"/>
        <v>#DIV/0!</v>
      </c>
      <c r="K12" s="81" t="e">
        <f t="shared" si="5"/>
        <v>#NUM!</v>
      </c>
    </row>
    <row r="13" spans="1:20" x14ac:dyDescent="0.35">
      <c r="A13" s="77" t="s">
        <v>104</v>
      </c>
      <c r="B13" s="78">
        <f>+B$4*(1-D13)</f>
        <v>0</v>
      </c>
      <c r="C13" s="96" t="s">
        <v>98</v>
      </c>
      <c r="D13" s="79">
        <v>0.08</v>
      </c>
      <c r="E13" s="79"/>
      <c r="F13" s="84" t="e">
        <f t="shared" si="3"/>
        <v>#DIV/0!</v>
      </c>
      <c r="G13" s="84" t="e">
        <f t="shared" si="0"/>
        <v>#NUM!</v>
      </c>
      <c r="H13" s="84" t="e">
        <f t="shared" si="1"/>
        <v>#NUM!</v>
      </c>
      <c r="I13" s="81" t="e">
        <f t="shared" si="4"/>
        <v>#DIV/0!</v>
      </c>
      <c r="J13" s="93" t="e">
        <f>IF(B13&lt;=$J$5,$G$2*(1-(($J$5-B13)/$J$5)),$G$2*((1-2)*(ABS($J$5-B13)/J12)))</f>
        <v>#DIV/0!</v>
      </c>
      <c r="K13" s="81" t="e">
        <f t="shared" si="5"/>
        <v>#NUM!</v>
      </c>
    </row>
    <row r="14" spans="1:20" x14ac:dyDescent="0.35">
      <c r="A14" s="77" t="s">
        <v>105</v>
      </c>
      <c r="B14" s="78">
        <f>+B$4*(1-D14)</f>
        <v>0</v>
      </c>
      <c r="C14" s="96" t="s">
        <v>98</v>
      </c>
      <c r="D14" s="79">
        <v>0.09</v>
      </c>
      <c r="E14" s="79"/>
      <c r="F14" s="84" t="e">
        <f t="shared" si="3"/>
        <v>#DIV/0!</v>
      </c>
      <c r="G14" s="84" t="e">
        <f t="shared" si="0"/>
        <v>#NUM!</v>
      </c>
      <c r="H14" s="84" t="e">
        <f t="shared" si="1"/>
        <v>#NUM!</v>
      </c>
      <c r="I14" s="81" t="e">
        <f>IF(B14&lt;=$I$5,$G$2*(1-(($I$5-B14)/$I$5)),$G$2*(1-(2*(ABS($I$5-B14)/$I$5))))</f>
        <v>#DIV/0!</v>
      </c>
      <c r="J14" s="93" t="e">
        <f>IF(B14&lt;=$J$5,$G$2*(1-(($J$5-B14)/$J$5)),$G$2*((1-2)*(ABS($J$5-B14)/J13)))</f>
        <v>#DIV/0!</v>
      </c>
      <c r="K14" s="81" t="e">
        <f t="shared" si="5"/>
        <v>#NUM!</v>
      </c>
    </row>
    <row r="15" spans="1:20" x14ac:dyDescent="0.35">
      <c r="A15" s="77"/>
      <c r="B15" s="77"/>
      <c r="C15" s="96"/>
      <c r="D15" s="77"/>
      <c r="E15" s="77"/>
      <c r="F15" s="79"/>
      <c r="G15" s="79"/>
      <c r="H15" s="80"/>
      <c r="I15" s="79"/>
      <c r="J15" s="85"/>
      <c r="K15" s="79"/>
    </row>
    <row r="16" spans="1:20" x14ac:dyDescent="0.35">
      <c r="B16" s="6" t="s">
        <v>106</v>
      </c>
      <c r="C16" s="14">
        <f>COUNTIF(C6:C15,"x")</f>
        <v>9</v>
      </c>
      <c r="J16" s="86"/>
    </row>
    <row r="17" spans="3:11" x14ac:dyDescent="0.35">
      <c r="F17" s="87"/>
      <c r="G17" s="87"/>
    </row>
    <row r="18" spans="3:11" x14ac:dyDescent="0.35">
      <c r="F18" s="88"/>
      <c r="G18" s="88"/>
    </row>
    <row r="19" spans="3:11" x14ac:dyDescent="0.35">
      <c r="F19" s="87"/>
      <c r="G19" s="87"/>
    </row>
    <row r="20" spans="3:11" x14ac:dyDescent="0.35">
      <c r="C20" s="6"/>
      <c r="K20" s="132"/>
    </row>
    <row r="21" spans="3:11" x14ac:dyDescent="0.35">
      <c r="C21" s="6"/>
      <c r="K21" s="132"/>
    </row>
    <row r="22" spans="3:11" x14ac:dyDescent="0.35">
      <c r="C22" s="6"/>
    </row>
    <row r="23" spans="3:11" x14ac:dyDescent="0.35">
      <c r="C23" s="6"/>
    </row>
    <row r="24" spans="3:11" x14ac:dyDescent="0.35">
      <c r="C24" s="6"/>
    </row>
    <row r="25" spans="3:11" x14ac:dyDescent="0.35">
      <c r="C25" s="6"/>
    </row>
    <row r="26" spans="3:11" x14ac:dyDescent="0.35">
      <c r="C26" s="6"/>
    </row>
    <row r="27" spans="3:11" x14ac:dyDescent="0.35">
      <c r="C27" s="6"/>
    </row>
    <row r="28" spans="3:11" x14ac:dyDescent="0.35">
      <c r="C28" s="6"/>
    </row>
    <row r="29" spans="3:11" x14ac:dyDescent="0.35">
      <c r="C29" s="6"/>
    </row>
    <row r="30" spans="3:11" x14ac:dyDescent="0.35">
      <c r="C30" s="6"/>
    </row>
    <row r="31" spans="3:11" x14ac:dyDescent="0.35">
      <c r="C31" s="6"/>
    </row>
    <row r="32" spans="3:11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  <row r="37" spans="3:3" x14ac:dyDescent="0.35">
      <c r="C37" s="6"/>
    </row>
    <row r="38" spans="3:3" x14ac:dyDescent="0.35">
      <c r="C38" s="6"/>
    </row>
    <row r="39" spans="3:3" x14ac:dyDescent="0.35">
      <c r="C39" s="6"/>
    </row>
    <row r="40" spans="3:3" x14ac:dyDescent="0.35">
      <c r="C40" s="6"/>
    </row>
    <row r="41" spans="3:3" x14ac:dyDescent="0.35">
      <c r="C41" s="6"/>
    </row>
    <row r="42" spans="3:3" x14ac:dyDescent="0.35">
      <c r="C42" s="6"/>
    </row>
    <row r="43" spans="3:3" x14ac:dyDescent="0.35">
      <c r="C43" s="6"/>
    </row>
    <row r="44" spans="3:3" x14ac:dyDescent="0.35">
      <c r="C44" s="6"/>
    </row>
    <row r="45" spans="3:3" x14ac:dyDescent="0.35">
      <c r="C45" s="6"/>
    </row>
    <row r="46" spans="3:3" x14ac:dyDescent="0.35">
      <c r="C46" s="6"/>
    </row>
    <row r="47" spans="3:3" x14ac:dyDescent="0.35">
      <c r="C47" s="6"/>
    </row>
    <row r="48" spans="3:3" x14ac:dyDescent="0.35">
      <c r="C48" s="6"/>
    </row>
    <row r="49" spans="3:3" x14ac:dyDescent="0.35">
      <c r="C49" s="6"/>
    </row>
    <row r="50" spans="3:3" x14ac:dyDescent="0.35">
      <c r="C50" s="6"/>
    </row>
    <row r="51" spans="3:3" x14ac:dyDescent="0.35">
      <c r="C51" s="6"/>
    </row>
    <row r="52" spans="3:3" x14ac:dyDescent="0.35">
      <c r="C52" s="6"/>
    </row>
    <row r="53" spans="3:3" x14ac:dyDescent="0.35">
      <c r="C53" s="6"/>
    </row>
    <row r="54" spans="3:3" x14ac:dyDescent="0.35">
      <c r="C54" s="6"/>
    </row>
    <row r="55" spans="3:3" x14ac:dyDescent="0.35">
      <c r="C55" s="6"/>
    </row>
    <row r="56" spans="3:3" x14ac:dyDescent="0.35">
      <c r="C56" s="6"/>
    </row>
  </sheetData>
  <conditionalFormatting sqref="F6:F14">
    <cfRule type="cellIs" dxfId="21" priority="4" operator="equal">
      <formula>MAX($F$6:$F$14)</formula>
    </cfRule>
  </conditionalFormatting>
  <conditionalFormatting sqref="G6:G14">
    <cfRule type="cellIs" dxfId="20" priority="5" operator="equal">
      <formula>MAX($G$6:$G$14)</formula>
    </cfRule>
  </conditionalFormatting>
  <conditionalFormatting sqref="H6:H14">
    <cfRule type="cellIs" dxfId="19" priority="6" operator="equal">
      <formula>MAX($H$6:$H$14)</formula>
    </cfRule>
  </conditionalFormatting>
  <conditionalFormatting sqref="I6:I14">
    <cfRule type="cellIs" dxfId="18" priority="7" operator="equal">
      <formula>MAX($I$6:$I$14)</formula>
    </cfRule>
  </conditionalFormatting>
  <conditionalFormatting sqref="J5:J14">
    <cfRule type="cellIs" dxfId="17" priority="3" operator="equal">
      <formula>MAX($J$6:$J$15)</formula>
    </cfRule>
  </conditionalFormatting>
  <conditionalFormatting sqref="K6:K14">
    <cfRule type="cellIs" dxfId="16" priority="1" operator="equal">
      <formula>MAX($K$6:$K$14)</formula>
    </cfRule>
  </conditionalFormatting>
  <conditionalFormatting sqref="K15">
    <cfRule type="cellIs" dxfId="15" priority="2" operator="equal">
      <formula>MAX($K$5:$K$14)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47BC-C01B-4BA1-B5D7-D69B76CC1BAF}">
  <dimension ref="B1:D24"/>
  <sheetViews>
    <sheetView workbookViewId="0">
      <selection activeCell="C9" sqref="C9"/>
    </sheetView>
  </sheetViews>
  <sheetFormatPr baseColWidth="10" defaultColWidth="9.453125" defaultRowHeight="12.5" x14ac:dyDescent="0.25"/>
  <cols>
    <col min="1" max="1" width="9.453125" style="28"/>
    <col min="2" max="2" width="29.54296875" style="28" bestFit="1" customWidth="1"/>
    <col min="3" max="3" width="25.453125" style="28" customWidth="1"/>
    <col min="4" max="4" width="17" style="28" bestFit="1" customWidth="1"/>
    <col min="5" max="16384" width="9.453125" style="28"/>
  </cols>
  <sheetData>
    <row r="1" spans="2:3" x14ac:dyDescent="0.25">
      <c r="C1" s="28" t="s">
        <v>110</v>
      </c>
    </row>
    <row r="2" spans="2:3" x14ac:dyDescent="0.25">
      <c r="B2" s="28" t="s">
        <v>46</v>
      </c>
      <c r="C2" s="55">
        <v>6414628000</v>
      </c>
    </row>
    <row r="3" spans="2:3" x14ac:dyDescent="0.25">
      <c r="B3" s="28" t="s">
        <v>47</v>
      </c>
      <c r="C3" s="55">
        <v>3136573000</v>
      </c>
    </row>
    <row r="4" spans="2:3" x14ac:dyDescent="0.25">
      <c r="B4" s="28" t="s">
        <v>48</v>
      </c>
      <c r="C4" s="55">
        <v>10274172000</v>
      </c>
    </row>
    <row r="5" spans="2:3" x14ac:dyDescent="0.25">
      <c r="B5" s="28" t="s">
        <v>49</v>
      </c>
      <c r="C5" s="55">
        <v>3136537000</v>
      </c>
    </row>
    <row r="6" spans="2:3" x14ac:dyDescent="0.25">
      <c r="B6" s="28" t="s">
        <v>50</v>
      </c>
      <c r="C6" s="55">
        <v>535991000</v>
      </c>
    </row>
    <row r="7" spans="2:3" x14ac:dyDescent="0.25">
      <c r="B7" s="28" t="s">
        <v>51</v>
      </c>
      <c r="C7" s="55">
        <v>199009000</v>
      </c>
    </row>
    <row r="8" spans="2:3" x14ac:dyDescent="0.25">
      <c r="B8" s="28" t="s">
        <v>52</v>
      </c>
      <c r="C8" s="159">
        <f>$C$2/$C$3</f>
        <v>2.0451071918300641</v>
      </c>
    </row>
    <row r="9" spans="2:3" x14ac:dyDescent="0.25">
      <c r="B9" s="28" t="s">
        <v>53</v>
      </c>
      <c r="C9" s="55">
        <f>+C2-C3</f>
        <v>3278055000</v>
      </c>
    </row>
    <row r="10" spans="2:3" x14ac:dyDescent="0.25">
      <c r="B10" s="28" t="s">
        <v>54</v>
      </c>
      <c r="C10" s="158">
        <f>C5/C4</f>
        <v>0.30528367638774201</v>
      </c>
    </row>
    <row r="11" spans="2:3" x14ac:dyDescent="0.25">
      <c r="B11" s="28" t="s">
        <v>55</v>
      </c>
      <c r="C11" s="157">
        <f>C6/C7</f>
        <v>2.6933003030013718</v>
      </c>
    </row>
    <row r="12" spans="2:3" x14ac:dyDescent="0.25">
      <c r="B12" s="28" t="s">
        <v>56</v>
      </c>
      <c r="C12" s="55">
        <v>7137635000</v>
      </c>
    </row>
    <row r="13" spans="2:3" x14ac:dyDescent="0.25">
      <c r="B13" s="28" t="s">
        <v>135</v>
      </c>
      <c r="C13" s="156">
        <f>C6/C12</f>
        <v>7.5093640960906524E-2</v>
      </c>
    </row>
    <row r="14" spans="2:3" x14ac:dyDescent="0.25">
      <c r="B14" s="28" t="s">
        <v>136</v>
      </c>
      <c r="C14" s="160">
        <f>C6/C4</f>
        <v>5.2168778175019845E-2</v>
      </c>
    </row>
    <row r="17" spans="2:4" x14ac:dyDescent="0.25">
      <c r="B17" s="161" t="s">
        <v>137</v>
      </c>
      <c r="C17" s="165" t="s">
        <v>140</v>
      </c>
      <c r="D17" s="165" t="s">
        <v>141</v>
      </c>
    </row>
    <row r="18" spans="2:4" x14ac:dyDescent="0.25">
      <c r="B18" s="28" t="s">
        <v>52</v>
      </c>
      <c r="C18" s="156">
        <v>2.04</v>
      </c>
      <c r="D18" s="163">
        <f>FichaTecnica!D20</f>
        <v>0</v>
      </c>
    </row>
    <row r="19" spans="2:4" x14ac:dyDescent="0.25">
      <c r="B19" s="28" t="s">
        <v>54</v>
      </c>
      <c r="C19" s="28">
        <v>0.3</v>
      </c>
      <c r="D19" s="163">
        <f>FichaTecnica!D21</f>
        <v>0</v>
      </c>
    </row>
    <row r="20" spans="2:4" x14ac:dyDescent="0.25">
      <c r="B20" s="28" t="s">
        <v>138</v>
      </c>
      <c r="C20" s="59">
        <v>2037.98</v>
      </c>
      <c r="D20" s="163">
        <f>FichaTecnica!D22</f>
        <v>0</v>
      </c>
    </row>
    <row r="21" spans="2:4" x14ac:dyDescent="0.25">
      <c r="B21" s="28" t="s">
        <v>53</v>
      </c>
      <c r="C21" s="92">
        <f>C9</f>
        <v>3278055000</v>
      </c>
      <c r="D21" s="162">
        <f>FichaTecnica!D23</f>
        <v>0</v>
      </c>
    </row>
    <row r="22" spans="2:4" x14ac:dyDescent="0.25">
      <c r="B22" s="161" t="s">
        <v>139</v>
      </c>
      <c r="C22" s="165" t="s">
        <v>140</v>
      </c>
      <c r="D22" s="165" t="s">
        <v>141</v>
      </c>
    </row>
    <row r="23" spans="2:4" ht="14.5" x14ac:dyDescent="0.35">
      <c r="B23" s="28" t="s">
        <v>135</v>
      </c>
      <c r="C23">
        <v>7.0000000000000007E-2</v>
      </c>
      <c r="D23" s="35">
        <f>FichaTecnica!D26</f>
        <v>0</v>
      </c>
    </row>
    <row r="24" spans="2:4" x14ac:dyDescent="0.25">
      <c r="B24" s="28" t="s">
        <v>136</v>
      </c>
      <c r="C24" s="59">
        <v>0.05</v>
      </c>
      <c r="D24" s="164">
        <f>FichaTecnica!D27</f>
        <v>0</v>
      </c>
    </row>
  </sheetData>
  <conditionalFormatting sqref="C19">
    <cfRule type="cellIs" dxfId="14" priority="30" operator="greaterThan">
      <formula>0.52</formula>
    </cfRule>
  </conditionalFormatting>
  <conditionalFormatting sqref="D18:D20">
    <cfRule type="cellIs" dxfId="13" priority="38" operator="equal">
      <formula>$C$18</formula>
    </cfRule>
    <cfRule type="cellIs" dxfId="12" priority="39" operator="lessThan">
      <formula>$C$18</formula>
    </cfRule>
    <cfRule type="cellIs" dxfId="11" priority="40" operator="greaterThan">
      <formula>$C$18</formula>
    </cfRule>
  </conditionalFormatting>
  <conditionalFormatting sqref="D18:D21">
    <cfRule type="cellIs" dxfId="10" priority="6" operator="equal">
      <formula>0</formula>
    </cfRule>
  </conditionalFormatting>
  <conditionalFormatting sqref="D21">
    <cfRule type="cellIs" dxfId="9" priority="15" operator="greaterThan">
      <formula>$C$21</formula>
    </cfRule>
    <cfRule type="cellIs" dxfId="8" priority="16" operator="lessThan">
      <formula>$C$21</formula>
    </cfRule>
    <cfRule type="cellIs" dxfId="7" priority="17" operator="equal">
      <formula>$C$21</formula>
    </cfRule>
  </conditionalFormatting>
  <conditionalFormatting sqref="D23">
    <cfRule type="cellIs" dxfId="6" priority="10" operator="greaterThan">
      <formula>$C$23</formula>
    </cfRule>
    <cfRule type="cellIs" dxfId="5" priority="11" operator="lessThan">
      <formula>$C$23</formula>
    </cfRule>
    <cfRule type="cellIs" dxfId="4" priority="14" operator="equal">
      <formula>$C$23</formula>
    </cfRule>
  </conditionalFormatting>
  <conditionalFormatting sqref="D23:D24">
    <cfRule type="cellIs" dxfId="3" priority="1" operator="equal">
      <formula>0</formula>
    </cfRule>
  </conditionalFormatting>
  <conditionalFormatting sqref="D24">
    <cfRule type="cellIs" dxfId="2" priority="2" operator="equal">
      <formula>$C$24</formula>
    </cfRule>
    <cfRule type="cellIs" dxfId="1" priority="3" operator="lessThan">
      <formula>$C$24</formula>
    </cfRule>
    <cfRule type="cellIs" dxfId="0" priority="4" operator="greaterThan">
      <formula>$C$24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485C-E7AE-40EF-B785-11133F818C82}">
  <dimension ref="B1:K22"/>
  <sheetViews>
    <sheetView workbookViewId="0">
      <selection activeCell="D3" sqref="D3"/>
    </sheetView>
  </sheetViews>
  <sheetFormatPr baseColWidth="10" defaultColWidth="9.453125" defaultRowHeight="12.5" x14ac:dyDescent="0.25"/>
  <cols>
    <col min="1" max="1" width="9.453125" style="28"/>
    <col min="2" max="2" width="24.453125" style="28" bestFit="1" customWidth="1"/>
    <col min="3" max="3" width="17" style="28" customWidth="1"/>
    <col min="4" max="4" width="25.453125" style="28" customWidth="1"/>
    <col min="5" max="5" width="19.54296875" style="28" customWidth="1"/>
    <col min="6" max="6" width="10" style="28" customWidth="1"/>
    <col min="7" max="7" width="18.54296875" style="28" bestFit="1" customWidth="1"/>
    <col min="8" max="8" width="9.453125" style="28"/>
    <col min="9" max="9" width="16.54296875" style="28" bestFit="1" customWidth="1"/>
    <col min="10" max="10" width="9.453125" style="28"/>
    <col min="11" max="11" width="12.54296875" style="28" bestFit="1" customWidth="1"/>
    <col min="12" max="16384" width="9.453125" style="28"/>
  </cols>
  <sheetData>
    <row r="1" spans="2:11" x14ac:dyDescent="0.25">
      <c r="D1" s="173">
        <v>1</v>
      </c>
      <c r="E1" s="173">
        <v>0.5</v>
      </c>
      <c r="F1" s="56"/>
    </row>
    <row r="2" spans="2:11" x14ac:dyDescent="0.25">
      <c r="D2" s="30" t="s">
        <v>110</v>
      </c>
      <c r="E2" s="30" t="s">
        <v>45</v>
      </c>
    </row>
    <row r="3" spans="2:11" x14ac:dyDescent="0.25">
      <c r="B3" s="28" t="s">
        <v>46</v>
      </c>
      <c r="D3" s="55">
        <v>6041138000</v>
      </c>
      <c r="E3" s="55">
        <v>0</v>
      </c>
      <c r="K3" s="57"/>
    </row>
    <row r="4" spans="2:11" x14ac:dyDescent="0.25">
      <c r="B4" s="28" t="s">
        <v>47</v>
      </c>
      <c r="D4" s="55">
        <v>3620302000</v>
      </c>
      <c r="E4" s="55">
        <v>0</v>
      </c>
      <c r="I4" s="58"/>
    </row>
    <row r="5" spans="2:11" x14ac:dyDescent="0.25">
      <c r="B5" s="28" t="s">
        <v>48</v>
      </c>
      <c r="D5" s="55">
        <v>9420955000</v>
      </c>
      <c r="E5" s="55">
        <v>0</v>
      </c>
    </row>
    <row r="6" spans="2:11" x14ac:dyDescent="0.25">
      <c r="B6" s="28" t="s">
        <v>49</v>
      </c>
      <c r="D6" s="55">
        <v>3620302000</v>
      </c>
      <c r="E6" s="55">
        <v>0</v>
      </c>
    </row>
    <row r="7" spans="2:11" x14ac:dyDescent="0.25">
      <c r="B7" s="28" t="s">
        <v>50</v>
      </c>
      <c r="D7" s="55">
        <v>881499000</v>
      </c>
      <c r="E7" s="55">
        <v>0</v>
      </c>
      <c r="G7" s="33"/>
    </row>
    <row r="8" spans="2:11" x14ac:dyDescent="0.25">
      <c r="B8" s="28" t="s">
        <v>51</v>
      </c>
      <c r="D8" s="55">
        <v>51182901</v>
      </c>
      <c r="E8" s="55">
        <v>0</v>
      </c>
    </row>
    <row r="9" spans="2:11" x14ac:dyDescent="0.25">
      <c r="B9" s="28" t="s">
        <v>52</v>
      </c>
      <c r="D9" s="159">
        <f>D3/D4</f>
        <v>1.6686834413261655</v>
      </c>
      <c r="E9" s="159" t="e">
        <f>E3/E4</f>
        <v>#DIV/0!</v>
      </c>
      <c r="G9" s="33"/>
      <c r="I9" s="92"/>
    </row>
    <row r="10" spans="2:11" x14ac:dyDescent="0.25">
      <c r="B10" s="28" t="s">
        <v>53</v>
      </c>
      <c r="D10" s="55">
        <f>D3-D4</f>
        <v>2420836000</v>
      </c>
      <c r="E10" s="55">
        <f>E3-E4</f>
        <v>0</v>
      </c>
    </row>
    <row r="11" spans="2:11" x14ac:dyDescent="0.25">
      <c r="B11" s="28" t="s">
        <v>54</v>
      </c>
      <c r="D11" s="158">
        <f>D6/D5</f>
        <v>0.38428184828395845</v>
      </c>
      <c r="E11" s="158" t="e">
        <f>E6/E5</f>
        <v>#DIV/0!</v>
      </c>
      <c r="F11" s="56"/>
    </row>
    <row r="12" spans="2:11" x14ac:dyDescent="0.25">
      <c r="B12" s="28" t="s">
        <v>55</v>
      </c>
      <c r="D12" s="157">
        <f>D7/D8</f>
        <v>17.222529062977497</v>
      </c>
      <c r="E12" s="157" t="e">
        <f>E7/E8</f>
        <v>#DIV/0!</v>
      </c>
    </row>
    <row r="13" spans="2:11" x14ac:dyDescent="0.25">
      <c r="B13" s="28" t="s">
        <v>56</v>
      </c>
      <c r="D13" s="55">
        <v>4739593339</v>
      </c>
      <c r="E13" s="55">
        <v>0</v>
      </c>
    </row>
    <row r="15" spans="2:11" x14ac:dyDescent="0.25">
      <c r="B15" s="210" t="s">
        <v>57</v>
      </c>
      <c r="C15" s="210"/>
      <c r="D15" s="210"/>
      <c r="E15" s="210"/>
      <c r="F15" s="210"/>
      <c r="G15" s="210"/>
      <c r="H15" s="210"/>
    </row>
    <row r="16" spans="2:11" x14ac:dyDescent="0.25">
      <c r="D16" s="28" t="s">
        <v>58</v>
      </c>
      <c r="G16" s="28" t="s">
        <v>59</v>
      </c>
    </row>
    <row r="17" spans="2:8" x14ac:dyDescent="0.25">
      <c r="B17" s="28" t="s">
        <v>60</v>
      </c>
      <c r="C17" s="59">
        <f>FichaTecnica!D20</f>
        <v>0</v>
      </c>
      <c r="D17" s="59" t="e">
        <f>((D3/D4)*$D$1)+((E3/E4)*$E$1)</f>
        <v>#DIV/0!</v>
      </c>
      <c r="G17" s="59">
        <f>((D3)+(E3))/((D4)+(E4))</f>
        <v>1.6686834413261655</v>
      </c>
      <c r="H17" s="28" t="s">
        <v>111</v>
      </c>
    </row>
    <row r="18" spans="2:8" x14ac:dyDescent="0.25">
      <c r="B18" s="28" t="s">
        <v>61</v>
      </c>
      <c r="C18" s="59">
        <f>FichaTecnica!D21</f>
        <v>0</v>
      </c>
      <c r="D18" s="59">
        <f>((D6*$D$1)+(E6*$E$1))/((D5*$D$1)+(E5*$E$1))</f>
        <v>0.38428184828395845</v>
      </c>
      <c r="G18" s="60">
        <f>((D6)+(E6))/((D5)+(E5))</f>
        <v>0.38428184828395845</v>
      </c>
      <c r="H18" s="28" t="s">
        <v>112</v>
      </c>
    </row>
    <row r="19" spans="2:8" x14ac:dyDescent="0.25">
      <c r="B19" s="28" t="s">
        <v>62</v>
      </c>
      <c r="C19" s="59">
        <f>FichaTecnica!D22</f>
        <v>0</v>
      </c>
      <c r="D19" s="59">
        <f>((D7*$D$1)+(E7*$E$1))/((D8*$D$1)+(E8*$E$1))</f>
        <v>17.222529062977497</v>
      </c>
      <c r="G19" s="59">
        <f>((D7)+(E7))/((D8)+(E8))</f>
        <v>17.222529062977497</v>
      </c>
      <c r="H19" s="28" t="s">
        <v>113</v>
      </c>
    </row>
    <row r="20" spans="2:8" x14ac:dyDescent="0.25">
      <c r="B20" s="28" t="s">
        <v>53</v>
      </c>
      <c r="C20" s="92">
        <f>FichaTecnica!D23</f>
        <v>0</v>
      </c>
      <c r="D20" s="92">
        <f>(D10*D1)+(E10*E1)</f>
        <v>2420836000</v>
      </c>
      <c r="G20" s="92">
        <f>D10+E10</f>
        <v>2420836000</v>
      </c>
      <c r="H20" s="28" t="s">
        <v>63</v>
      </c>
    </row>
    <row r="21" spans="2:8" x14ac:dyDescent="0.25">
      <c r="B21" s="28" t="s">
        <v>64</v>
      </c>
      <c r="C21" s="59">
        <f>FichaTecnica!D26</f>
        <v>0</v>
      </c>
      <c r="D21" s="172">
        <f>((D7*$D$1)+(E7*E1))/((D13*$D$1)+(E13*$E$1))</f>
        <v>0.18598620956497214</v>
      </c>
      <c r="G21" s="172">
        <f>((D7)+(E7))/((D13)+(E13))</f>
        <v>0.18598620956497214</v>
      </c>
      <c r="H21" s="28" t="s">
        <v>114</v>
      </c>
    </row>
    <row r="22" spans="2:8" x14ac:dyDescent="0.25">
      <c r="B22" s="28" t="s">
        <v>65</v>
      </c>
      <c r="C22" s="59">
        <f>FichaTecnica!D27</f>
        <v>0</v>
      </c>
      <c r="D22" s="172">
        <f>((D7*$D$1)+(E7*E1))/((D5*$D$1)+(E5*$E$1))</f>
        <v>9.3567902617091372E-2</v>
      </c>
      <c r="G22" s="172">
        <f>((D7)+(E7))/((D5)+(E5))</f>
        <v>9.3567902617091372E-2</v>
      </c>
      <c r="H22" s="28" t="s">
        <v>114</v>
      </c>
    </row>
  </sheetData>
  <mergeCells count="1">
    <mergeCell ref="B15:H15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7DC601E3-F5C8-4C0D-859E-727D15C4BEB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$C$17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D17</xm:sqref>
        </x14:conditionalFormatting>
        <x14:conditionalFormatting xmlns:xm="http://schemas.microsoft.com/office/excel/2006/main">
          <x14:cfRule type="iconSet" priority="11" id="{8C6F4D3E-6691-49E7-A396-F96E3708018C}">
            <x14:iconSet custom="1">
              <x14:cfvo type="percent">
                <xm:f>0</xm:f>
              </x14:cfvo>
              <x14:cfvo type="num">
                <xm:f>0</xm:f>
              </x14:cfvo>
              <x14:cfvo type="percent" gte="0">
                <xm:f>$C$18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D18</xm:sqref>
        </x14:conditionalFormatting>
        <x14:conditionalFormatting xmlns:xm="http://schemas.microsoft.com/office/excel/2006/main">
          <x14:cfRule type="iconSet" priority="10" id="{6D5EBF73-FCAF-462A-B2A1-4BCA942BDEE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$C$19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D19</xm:sqref>
        </x14:conditionalFormatting>
        <x14:conditionalFormatting xmlns:xm="http://schemas.microsoft.com/office/excel/2006/main">
          <x14:cfRule type="iconSet" priority="9" id="{94C6DAF3-08B0-47BA-83AC-3D77B7EA0C7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$C$20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D20</xm:sqref>
        </x14:conditionalFormatting>
        <x14:conditionalFormatting xmlns:xm="http://schemas.microsoft.com/office/excel/2006/main">
          <x14:cfRule type="iconSet" priority="1" id="{F286312C-70C1-4A7C-9716-24C72633619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$C$21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D21</xm:sqref>
        </x14:conditionalFormatting>
        <x14:conditionalFormatting xmlns:xm="http://schemas.microsoft.com/office/excel/2006/main">
          <x14:cfRule type="iconSet" priority="8" id="{0C84F4E7-FE26-4897-9FA9-E58BCB13ACA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$C$22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D22</xm:sqref>
        </x14:conditionalFormatting>
        <x14:conditionalFormatting xmlns:xm="http://schemas.microsoft.com/office/excel/2006/main">
          <x14:cfRule type="iconSet" priority="7" id="{F21F8603-716D-4FC1-A6F6-4DA7998D2AF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$C$17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G17</xm:sqref>
        </x14:conditionalFormatting>
        <x14:conditionalFormatting xmlns:xm="http://schemas.microsoft.com/office/excel/2006/main">
          <x14:cfRule type="iconSet" priority="6" id="{CEBE6422-E1EB-47A4-8F6D-7595C4764D9D}">
            <x14:iconSet custom="1">
              <x14:cfvo type="percent">
                <xm:f>0</xm:f>
              </x14:cfvo>
              <x14:cfvo type="num">
                <xm:f>0</xm:f>
              </x14:cfvo>
              <x14:cfvo type="percent" gte="0">
                <xm:f>$C$18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G18</xm:sqref>
        </x14:conditionalFormatting>
        <x14:conditionalFormatting xmlns:xm="http://schemas.microsoft.com/office/excel/2006/main">
          <x14:cfRule type="iconSet" priority="5" id="{A1CF3086-126A-4DDE-8CD8-AB34A69C5E5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$C$19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G19</xm:sqref>
        </x14:conditionalFormatting>
        <x14:conditionalFormatting xmlns:xm="http://schemas.microsoft.com/office/excel/2006/main">
          <x14:cfRule type="iconSet" priority="4" id="{3A8EB500-F404-4026-9FA2-DC7F1EC9C4A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$C$20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G20</xm:sqref>
        </x14:conditionalFormatting>
        <x14:conditionalFormatting xmlns:xm="http://schemas.microsoft.com/office/excel/2006/main">
          <x14:cfRule type="iconSet" priority="3" id="{AB1CA667-027F-4EEF-9A1E-30DA663A5063}">
            <x14:iconSet custom="1">
              <x14:cfvo type="percent">
                <xm:f>0</xm:f>
              </x14:cfvo>
              <x14:cfvo type="num">
                <xm:f>100</xm:f>
              </x14:cfvo>
              <x14:cfvo type="num">
                <xm:f>$C$21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G21</xm:sqref>
        </x14:conditionalFormatting>
        <x14:conditionalFormatting xmlns:xm="http://schemas.microsoft.com/office/excel/2006/main">
          <x14:cfRule type="iconSet" priority="2" id="{C76311EA-8E1C-49D7-BD65-3A6415E193D0}">
            <x14:iconSet custom="1">
              <x14:cfvo type="percent">
                <xm:f>0</xm:f>
              </x14:cfvo>
              <x14:cfvo type="num">
                <xm:f>100</xm:f>
              </x14:cfvo>
              <x14:cfvo type="num">
                <xm:f>$C$22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G22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D61D-AD8D-4B28-B144-9A16E9E8D9ED}">
  <dimension ref="A1:I43"/>
  <sheetViews>
    <sheetView zoomScale="80" zoomScaleNormal="80" workbookViewId="0">
      <selection activeCell="D48" sqref="D48"/>
    </sheetView>
  </sheetViews>
  <sheetFormatPr baseColWidth="10" defaultColWidth="9.453125" defaultRowHeight="13.5" x14ac:dyDescent="0.35"/>
  <cols>
    <col min="1" max="1" width="56" style="134" customWidth="1"/>
    <col min="2" max="2" width="16.54296875" style="140" customWidth="1"/>
    <col min="3" max="3" width="19" style="140" customWidth="1"/>
    <col min="4" max="4" width="16.54296875" style="141" customWidth="1"/>
    <col min="5" max="5" width="14.453125" style="142" bestFit="1" customWidth="1"/>
    <col min="6" max="6" width="15.54296875" style="142" bestFit="1" customWidth="1"/>
    <col min="7" max="7" width="19.54296875" style="138" customWidth="1"/>
    <col min="8" max="8" width="5.453125" style="138" bestFit="1" customWidth="1"/>
    <col min="9" max="9" width="30.453125" style="138" customWidth="1"/>
    <col min="10" max="11" width="43.54296875" style="138" customWidth="1"/>
    <col min="12" max="16384" width="9.453125" style="138"/>
  </cols>
  <sheetData>
    <row r="1" spans="1:9" x14ac:dyDescent="0.35">
      <c r="D1" s="141" t="s">
        <v>120</v>
      </c>
      <c r="E1" s="142" t="s">
        <v>121</v>
      </c>
      <c r="F1" s="142" t="s">
        <v>122</v>
      </c>
    </row>
    <row r="2" spans="1:9" s="139" customFormat="1" ht="14.5" x14ac:dyDescent="0.35">
      <c r="A2" s="134" t="s">
        <v>123</v>
      </c>
      <c r="B2" s="135"/>
      <c r="C2" s="135"/>
      <c r="D2" s="136">
        <f t="shared" ref="D2:D43" si="0">(DAYS360(B2,C2,FALSE))/360</f>
        <v>0</v>
      </c>
      <c r="E2" s="137">
        <f t="shared" ref="E2:E43" si="1">(D2)*12</f>
        <v>0</v>
      </c>
      <c r="F2" s="137">
        <f t="shared" ref="F2:F43" si="2">(E2-2)*30</f>
        <v>-60</v>
      </c>
      <c r="G2" s="138"/>
      <c r="H2" s="138"/>
    </row>
    <row r="3" spans="1:9" s="139" customFormat="1" ht="14.5" x14ac:dyDescent="0.35">
      <c r="A3" s="134" t="s">
        <v>124</v>
      </c>
      <c r="B3" s="135"/>
      <c r="C3" s="135"/>
      <c r="D3" s="136">
        <f t="shared" si="0"/>
        <v>0</v>
      </c>
      <c r="E3" s="137">
        <f t="shared" si="1"/>
        <v>0</v>
      </c>
      <c r="F3" s="137">
        <f t="shared" si="2"/>
        <v>-60</v>
      </c>
      <c r="G3" s="138"/>
      <c r="H3" s="138"/>
    </row>
    <row r="4" spans="1:9" ht="14.5" x14ac:dyDescent="0.35">
      <c r="A4" s="134" t="s">
        <v>125</v>
      </c>
      <c r="B4" s="135"/>
      <c r="C4" s="135"/>
      <c r="D4" s="136">
        <f t="shared" si="0"/>
        <v>0</v>
      </c>
      <c r="E4" s="137">
        <f t="shared" si="1"/>
        <v>0</v>
      </c>
      <c r="F4" s="137">
        <f t="shared" si="2"/>
        <v>-60</v>
      </c>
    </row>
    <row r="5" spans="1:9" ht="14.5" x14ac:dyDescent="0.35">
      <c r="B5" s="135"/>
      <c r="C5" s="135"/>
      <c r="D5" s="136">
        <f t="shared" si="0"/>
        <v>0</v>
      </c>
      <c r="E5" s="137">
        <f t="shared" si="1"/>
        <v>0</v>
      </c>
      <c r="F5" s="137">
        <f t="shared" si="2"/>
        <v>-60</v>
      </c>
    </row>
    <row r="6" spans="1:9" ht="14.5" x14ac:dyDescent="0.35">
      <c r="B6" s="135"/>
      <c r="C6" s="135"/>
      <c r="D6" s="136">
        <f t="shared" si="0"/>
        <v>0</v>
      </c>
      <c r="E6" s="137">
        <f t="shared" si="1"/>
        <v>0</v>
      </c>
      <c r="F6" s="137">
        <f t="shared" si="2"/>
        <v>-60</v>
      </c>
      <c r="I6"/>
    </row>
    <row r="7" spans="1:9" ht="14.5" x14ac:dyDescent="0.35">
      <c r="B7" s="144"/>
      <c r="C7" s="144"/>
      <c r="D7" s="136">
        <f t="shared" si="0"/>
        <v>0</v>
      </c>
      <c r="E7" s="137">
        <f t="shared" si="1"/>
        <v>0</v>
      </c>
      <c r="F7" s="137">
        <f t="shared" si="2"/>
        <v>-60</v>
      </c>
      <c r="I7"/>
    </row>
    <row r="8" spans="1:9" ht="14.5" x14ac:dyDescent="0.35">
      <c r="B8" s="144"/>
      <c r="C8" s="144"/>
      <c r="D8" s="136">
        <f t="shared" si="0"/>
        <v>0</v>
      </c>
      <c r="E8" s="137">
        <f t="shared" si="1"/>
        <v>0</v>
      </c>
      <c r="F8" s="137">
        <f t="shared" si="2"/>
        <v>-60</v>
      </c>
      <c r="I8"/>
    </row>
    <row r="9" spans="1:9" ht="14.5" x14ac:dyDescent="0.35">
      <c r="B9" s="144"/>
      <c r="C9" s="135"/>
      <c r="D9" s="136">
        <f t="shared" si="0"/>
        <v>0</v>
      </c>
      <c r="E9" s="137">
        <f t="shared" si="1"/>
        <v>0</v>
      </c>
      <c r="F9" s="137">
        <f t="shared" si="2"/>
        <v>-60</v>
      </c>
      <c r="I9"/>
    </row>
    <row r="10" spans="1:9" ht="14.5" x14ac:dyDescent="0.35">
      <c r="B10" s="135"/>
      <c r="C10" s="135"/>
      <c r="D10" s="136">
        <f t="shared" si="0"/>
        <v>0</v>
      </c>
      <c r="E10" s="137">
        <f t="shared" si="1"/>
        <v>0</v>
      </c>
      <c r="F10" s="137">
        <f t="shared" si="2"/>
        <v>-60</v>
      </c>
      <c r="I10"/>
    </row>
    <row r="11" spans="1:9" ht="14.5" x14ac:dyDescent="0.35">
      <c r="B11" s="135"/>
      <c r="C11" s="135"/>
      <c r="D11" s="136">
        <f t="shared" si="0"/>
        <v>0</v>
      </c>
      <c r="E11" s="137">
        <f t="shared" si="1"/>
        <v>0</v>
      </c>
      <c r="F11" s="137">
        <f t="shared" si="2"/>
        <v>-60</v>
      </c>
      <c r="I11"/>
    </row>
    <row r="12" spans="1:9" ht="14.5" x14ac:dyDescent="0.35">
      <c r="B12" s="135"/>
      <c r="C12" s="135"/>
      <c r="D12" s="136">
        <f t="shared" si="0"/>
        <v>0</v>
      </c>
      <c r="E12" s="137">
        <f t="shared" si="1"/>
        <v>0</v>
      </c>
      <c r="F12" s="137">
        <f t="shared" si="2"/>
        <v>-60</v>
      </c>
      <c r="I12"/>
    </row>
    <row r="13" spans="1:9" ht="14.5" x14ac:dyDescent="0.35">
      <c r="B13" s="135"/>
      <c r="C13" s="135"/>
      <c r="D13" s="136">
        <f t="shared" si="0"/>
        <v>0</v>
      </c>
      <c r="E13" s="137">
        <f t="shared" si="1"/>
        <v>0</v>
      </c>
      <c r="F13" s="137">
        <f t="shared" si="2"/>
        <v>-60</v>
      </c>
      <c r="I13"/>
    </row>
    <row r="14" spans="1:9" ht="14.5" x14ac:dyDescent="0.35">
      <c r="B14" s="135"/>
      <c r="C14" s="135"/>
      <c r="D14" s="136">
        <f t="shared" si="0"/>
        <v>0</v>
      </c>
      <c r="E14" s="137">
        <f t="shared" si="1"/>
        <v>0</v>
      </c>
      <c r="F14" s="137">
        <f t="shared" si="2"/>
        <v>-60</v>
      </c>
      <c r="I14"/>
    </row>
    <row r="15" spans="1:9" ht="14.5" x14ac:dyDescent="0.35">
      <c r="B15" s="135"/>
      <c r="C15" s="135"/>
      <c r="D15" s="136">
        <f t="shared" si="0"/>
        <v>0</v>
      </c>
      <c r="E15" s="137">
        <f t="shared" si="1"/>
        <v>0</v>
      </c>
      <c r="F15" s="137">
        <f t="shared" si="2"/>
        <v>-60</v>
      </c>
      <c r="I15"/>
    </row>
    <row r="16" spans="1:9" ht="14.5" x14ac:dyDescent="0.35">
      <c r="B16" s="135"/>
      <c r="C16" s="135"/>
      <c r="D16" s="136">
        <f t="shared" si="0"/>
        <v>0</v>
      </c>
      <c r="E16" s="137">
        <f t="shared" si="1"/>
        <v>0</v>
      </c>
      <c r="F16" s="137">
        <f t="shared" si="2"/>
        <v>-60</v>
      </c>
      <c r="I16"/>
    </row>
    <row r="17" spans="1:9" ht="14.5" x14ac:dyDescent="0.35">
      <c r="B17" s="135"/>
      <c r="C17" s="135"/>
      <c r="D17" s="136">
        <f t="shared" si="0"/>
        <v>0</v>
      </c>
      <c r="E17" s="137">
        <f t="shared" si="1"/>
        <v>0</v>
      </c>
      <c r="F17" s="137">
        <f t="shared" si="2"/>
        <v>-60</v>
      </c>
      <c r="I17"/>
    </row>
    <row r="18" spans="1:9" x14ac:dyDescent="0.35">
      <c r="A18" s="138"/>
      <c r="D18" s="136">
        <f t="shared" si="0"/>
        <v>0</v>
      </c>
      <c r="E18" s="137">
        <f t="shared" si="1"/>
        <v>0</v>
      </c>
      <c r="F18" s="137">
        <f t="shared" si="2"/>
        <v>-60</v>
      </c>
    </row>
    <row r="19" spans="1:9" x14ac:dyDescent="0.35">
      <c r="A19" s="138"/>
      <c r="D19" s="136">
        <f t="shared" si="0"/>
        <v>0</v>
      </c>
      <c r="E19" s="137">
        <f t="shared" si="1"/>
        <v>0</v>
      </c>
      <c r="F19" s="137">
        <f t="shared" si="2"/>
        <v>-60</v>
      </c>
    </row>
    <row r="20" spans="1:9" ht="15" customHeight="1" x14ac:dyDescent="0.35">
      <c r="A20" s="143"/>
      <c r="D20" s="136">
        <f t="shared" si="0"/>
        <v>0</v>
      </c>
      <c r="E20" s="137">
        <f t="shared" si="1"/>
        <v>0</v>
      </c>
      <c r="F20" s="137">
        <f t="shared" si="2"/>
        <v>-60</v>
      </c>
    </row>
    <row r="21" spans="1:9" x14ac:dyDescent="0.35">
      <c r="A21" s="143"/>
      <c r="D21" s="136">
        <f t="shared" si="0"/>
        <v>0</v>
      </c>
      <c r="E21" s="137">
        <f t="shared" si="1"/>
        <v>0</v>
      </c>
      <c r="F21" s="137">
        <f t="shared" si="2"/>
        <v>-60</v>
      </c>
    </row>
    <row r="22" spans="1:9" x14ac:dyDescent="0.35">
      <c r="A22" s="138"/>
      <c r="D22" s="136">
        <f t="shared" si="0"/>
        <v>0</v>
      </c>
      <c r="E22" s="137">
        <f t="shared" si="1"/>
        <v>0</v>
      </c>
      <c r="F22" s="137">
        <f t="shared" si="2"/>
        <v>-60</v>
      </c>
    </row>
    <row r="23" spans="1:9" x14ac:dyDescent="0.35">
      <c r="D23" s="136">
        <f t="shared" si="0"/>
        <v>0</v>
      </c>
      <c r="E23" s="137">
        <f t="shared" si="1"/>
        <v>0</v>
      </c>
      <c r="F23" s="137">
        <f t="shared" si="2"/>
        <v>-60</v>
      </c>
    </row>
    <row r="24" spans="1:9" x14ac:dyDescent="0.35">
      <c r="D24" s="136">
        <f t="shared" si="0"/>
        <v>0</v>
      </c>
      <c r="E24" s="137">
        <f t="shared" si="1"/>
        <v>0</v>
      </c>
      <c r="F24" s="137">
        <f t="shared" si="2"/>
        <v>-60</v>
      </c>
    </row>
    <row r="25" spans="1:9" x14ac:dyDescent="0.35">
      <c r="D25" s="136">
        <f t="shared" si="0"/>
        <v>0</v>
      </c>
      <c r="E25" s="137">
        <f t="shared" si="1"/>
        <v>0</v>
      </c>
      <c r="F25" s="137">
        <f t="shared" si="2"/>
        <v>-60</v>
      </c>
    </row>
    <row r="26" spans="1:9" x14ac:dyDescent="0.35">
      <c r="D26" s="136">
        <f t="shared" si="0"/>
        <v>0</v>
      </c>
      <c r="E26" s="137">
        <f t="shared" si="1"/>
        <v>0</v>
      </c>
      <c r="F26" s="137">
        <f t="shared" si="2"/>
        <v>-60</v>
      </c>
    </row>
    <row r="27" spans="1:9" x14ac:dyDescent="0.35">
      <c r="D27" s="136">
        <f t="shared" si="0"/>
        <v>0</v>
      </c>
      <c r="E27" s="137">
        <f t="shared" si="1"/>
        <v>0</v>
      </c>
      <c r="F27" s="137">
        <f t="shared" si="2"/>
        <v>-60</v>
      </c>
    </row>
    <row r="28" spans="1:9" x14ac:dyDescent="0.35">
      <c r="D28" s="136">
        <f t="shared" si="0"/>
        <v>0</v>
      </c>
      <c r="E28" s="137">
        <f t="shared" si="1"/>
        <v>0</v>
      </c>
      <c r="F28" s="137">
        <f t="shared" si="2"/>
        <v>-60</v>
      </c>
    </row>
    <row r="29" spans="1:9" x14ac:dyDescent="0.35">
      <c r="D29" s="136">
        <f t="shared" si="0"/>
        <v>0</v>
      </c>
      <c r="E29" s="137">
        <f t="shared" si="1"/>
        <v>0</v>
      </c>
      <c r="F29" s="137">
        <f t="shared" si="2"/>
        <v>-60</v>
      </c>
    </row>
    <row r="30" spans="1:9" x14ac:dyDescent="0.35">
      <c r="D30" s="136">
        <f t="shared" si="0"/>
        <v>0</v>
      </c>
      <c r="E30" s="137">
        <f t="shared" si="1"/>
        <v>0</v>
      </c>
      <c r="F30" s="137">
        <f t="shared" si="2"/>
        <v>-60</v>
      </c>
    </row>
    <row r="31" spans="1:9" x14ac:dyDescent="0.35">
      <c r="D31" s="136">
        <f t="shared" si="0"/>
        <v>0</v>
      </c>
      <c r="E31" s="137">
        <f t="shared" si="1"/>
        <v>0</v>
      </c>
      <c r="F31" s="137">
        <f t="shared" si="2"/>
        <v>-60</v>
      </c>
    </row>
    <row r="32" spans="1:9" x14ac:dyDescent="0.35">
      <c r="D32" s="136">
        <f t="shared" si="0"/>
        <v>0</v>
      </c>
      <c r="E32" s="137">
        <f t="shared" si="1"/>
        <v>0</v>
      </c>
      <c r="F32" s="137">
        <f t="shared" si="2"/>
        <v>-60</v>
      </c>
    </row>
    <row r="33" spans="4:6" x14ac:dyDescent="0.35">
      <c r="D33" s="136">
        <f t="shared" si="0"/>
        <v>0</v>
      </c>
      <c r="E33" s="137">
        <f t="shared" si="1"/>
        <v>0</v>
      </c>
      <c r="F33" s="137">
        <f t="shared" si="2"/>
        <v>-60</v>
      </c>
    </row>
    <row r="34" spans="4:6" x14ac:dyDescent="0.35">
      <c r="D34" s="136">
        <f t="shared" si="0"/>
        <v>0</v>
      </c>
      <c r="E34" s="137">
        <f t="shared" si="1"/>
        <v>0</v>
      </c>
      <c r="F34" s="137">
        <f t="shared" si="2"/>
        <v>-60</v>
      </c>
    </row>
    <row r="35" spans="4:6" x14ac:dyDescent="0.35">
      <c r="D35" s="136">
        <f t="shared" si="0"/>
        <v>0</v>
      </c>
      <c r="E35" s="137">
        <f t="shared" si="1"/>
        <v>0</v>
      </c>
      <c r="F35" s="137">
        <f t="shared" si="2"/>
        <v>-60</v>
      </c>
    </row>
    <row r="36" spans="4:6" x14ac:dyDescent="0.35">
      <c r="D36" s="136">
        <f t="shared" si="0"/>
        <v>0</v>
      </c>
      <c r="E36" s="137">
        <f t="shared" si="1"/>
        <v>0</v>
      </c>
      <c r="F36" s="137">
        <f t="shared" si="2"/>
        <v>-60</v>
      </c>
    </row>
    <row r="37" spans="4:6" x14ac:dyDescent="0.35">
      <c r="D37" s="136">
        <f t="shared" si="0"/>
        <v>0</v>
      </c>
      <c r="E37" s="137">
        <f t="shared" si="1"/>
        <v>0</v>
      </c>
      <c r="F37" s="137">
        <f t="shared" si="2"/>
        <v>-60</v>
      </c>
    </row>
    <row r="38" spans="4:6" x14ac:dyDescent="0.35">
      <c r="D38" s="136">
        <f t="shared" si="0"/>
        <v>0</v>
      </c>
      <c r="E38" s="137">
        <f t="shared" si="1"/>
        <v>0</v>
      </c>
      <c r="F38" s="137">
        <f t="shared" si="2"/>
        <v>-60</v>
      </c>
    </row>
    <row r="39" spans="4:6" x14ac:dyDescent="0.35">
      <c r="D39" s="136">
        <f t="shared" si="0"/>
        <v>0</v>
      </c>
      <c r="E39" s="137">
        <f t="shared" si="1"/>
        <v>0</v>
      </c>
      <c r="F39" s="137">
        <f t="shared" si="2"/>
        <v>-60</v>
      </c>
    </row>
    <row r="40" spans="4:6" x14ac:dyDescent="0.35">
      <c r="D40" s="136">
        <f t="shared" si="0"/>
        <v>0</v>
      </c>
      <c r="E40" s="137">
        <f t="shared" si="1"/>
        <v>0</v>
      </c>
      <c r="F40" s="137">
        <f t="shared" si="2"/>
        <v>-60</v>
      </c>
    </row>
    <row r="41" spans="4:6" x14ac:dyDescent="0.35">
      <c r="D41" s="136">
        <f t="shared" si="0"/>
        <v>0</v>
      </c>
      <c r="E41" s="137">
        <f t="shared" si="1"/>
        <v>0</v>
      </c>
      <c r="F41" s="137">
        <f t="shared" si="2"/>
        <v>-60</v>
      </c>
    </row>
    <row r="42" spans="4:6" x14ac:dyDescent="0.35">
      <c r="D42" s="136">
        <f t="shared" si="0"/>
        <v>0</v>
      </c>
      <c r="E42" s="137">
        <f t="shared" si="1"/>
        <v>0</v>
      </c>
      <c r="F42" s="137">
        <f t="shared" si="2"/>
        <v>-60</v>
      </c>
    </row>
    <row r="43" spans="4:6" x14ac:dyDescent="0.35">
      <c r="D43" s="136">
        <f t="shared" si="0"/>
        <v>0</v>
      </c>
      <c r="E43" s="137">
        <f t="shared" si="1"/>
        <v>0</v>
      </c>
      <c r="F43" s="137">
        <f t="shared" si="2"/>
        <v>-60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ED6EB03B78A9488818302DD2D77C5D" ma:contentTypeVersion="17" ma:contentTypeDescription="Crear nuevo documento." ma:contentTypeScope="" ma:versionID="a68d4a1c6b7e1e58be9a31e9b6455b2e">
  <xsd:schema xmlns:xsd="http://www.w3.org/2001/XMLSchema" xmlns:xs="http://www.w3.org/2001/XMLSchema" xmlns:p="http://schemas.microsoft.com/office/2006/metadata/properties" xmlns:ns2="33158d27-8bd5-46e2-9d26-6de7bb49769e" xmlns:ns3="b49aa62f-5b3b-45ca-8c37-ae9a46f4f86b" targetNamespace="http://schemas.microsoft.com/office/2006/metadata/properties" ma:root="true" ma:fieldsID="3a03942c69b77a3578fc6e73320ce521" ns2:_="" ns3:_="">
    <xsd:import namespace="33158d27-8bd5-46e2-9d26-6de7bb49769e"/>
    <xsd:import namespace="b49aa62f-5b3b-45ca-8c37-ae9a46f4f8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158d27-8bd5-46e2-9d26-6de7bb4976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929f3d6-86b1-4ef8-936c-9d77b80035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aa62f-5b3b-45ca-8c37-ae9a46f4f86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3af56c6-2781-4b88-b4a3-32d1c339a2a7}" ma:internalName="TaxCatchAll" ma:showField="CatchAllData" ma:web="b49aa62f-5b3b-45ca-8c37-ae9a46f4f8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158d27-8bd5-46e2-9d26-6de7bb49769e">
      <Terms xmlns="http://schemas.microsoft.com/office/infopath/2007/PartnerControls"/>
    </lcf76f155ced4ddcb4097134ff3c332f>
    <TaxCatchAll xmlns="b49aa62f-5b3b-45ca-8c37-ae9a46f4f86b" xsi:nil="true"/>
  </documentManagement>
</p:properties>
</file>

<file path=customXml/itemProps1.xml><?xml version="1.0" encoding="utf-8"?>
<ds:datastoreItem xmlns:ds="http://schemas.openxmlformats.org/officeDocument/2006/customXml" ds:itemID="{9E1DC2BD-56D7-40CF-87DD-63B0EF0488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A19A57-1DA7-4FBF-8D0A-6094900E02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158d27-8bd5-46e2-9d26-6de7bb49769e"/>
    <ds:schemaRef ds:uri="b49aa62f-5b3b-45ca-8c37-ae9a46f4f8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765728-29BD-4892-8D5F-F555A7BA7F64}">
  <ds:schemaRefs>
    <ds:schemaRef ds:uri="71d1be9b-319f-456a-8468-5aaf44f11bee"/>
    <ds:schemaRef ds:uri="http://schemas.microsoft.com/office/infopath/2007/PartnerControls"/>
    <ds:schemaRef ds:uri="http://purl.org/dc/dcmitype/"/>
    <ds:schemaRef ds:uri="http://purl.org/dc/terms/"/>
    <ds:schemaRef ds:uri="http://schemas.microsoft.com/sharepoint/v3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274a09a0-3de3-4a0c-9c1d-54fb38a11463"/>
    <ds:schemaRef ds:uri="http://schemas.microsoft.com/office/2006/metadata/properties"/>
    <ds:schemaRef ds:uri="33158d27-8bd5-46e2-9d26-6de7bb49769e"/>
    <ds:schemaRef ds:uri="b49aa62f-5b3b-45ca-8c37-ae9a46f4f8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CheckList</vt:lpstr>
      <vt:lpstr>FichaTecnica</vt:lpstr>
      <vt:lpstr>Documentacion</vt:lpstr>
      <vt:lpstr>Costeo</vt:lpstr>
      <vt:lpstr>Perfiles</vt:lpstr>
      <vt:lpstr>Pólizas</vt:lpstr>
      <vt:lpstr>Precios art. bajos </vt:lpstr>
      <vt:lpstr>Análisis Ppta Económica</vt:lpstr>
      <vt:lpstr>IndicadoresSG</vt:lpstr>
      <vt:lpstr>Indicadores en UT</vt:lpstr>
      <vt:lpstr>CalculoFechas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Liliana Montoya Herrera</dc:creator>
  <cp:keywords/>
  <dc:description/>
  <cp:lastModifiedBy>Cristian Andres Mayorga Melo</cp:lastModifiedBy>
  <cp:revision/>
  <dcterms:created xsi:type="dcterms:W3CDTF">2016-03-17T16:38:37Z</dcterms:created>
  <dcterms:modified xsi:type="dcterms:W3CDTF">2026-08-13T17:16:29Z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0x01010071ED6EB03B78A9488818302DD2D77C5D</vt:lpwstr>
  </property>
  <property fmtid="{D5CDD505-2E9C-101B-9397-08002B2CF9AE}" pid="3" name="AuthorIds_UIVersion_1536">
    <vt:lpwstr>173</vt:lpwstr>
  </property>
  <property fmtid="{D5CDD505-2E9C-101B-9397-08002B2CF9AE}" pid="4" name="MediaServiceImageTags">
    <vt:lpwstr/>
  </property>
  <property fmtid="{D5CDD505-2E9C-101B-9397-08002B2CF9AE}" pid="5" name="_ExtendedDescription">
    <vt:lpwstr/>
  </property>
</Properties>
</file>